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p1 Model Comparison" sheetId="2" state="visible" r:id="rId4"/>
    <sheet name="Exp1 Summary" sheetId="3" state="visible" r:id="rId5"/>
    <sheet name="Reachy Camera Test" sheetId="4" state="visible" r:id="rId6"/>
    <sheet name="Prompt Referen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<sst xmlns="http://schemas.openxmlformats.org/spreadsheetml/2006/main" count="603" uniqueCount="128">
  <si>
    <t xml:space="preserve">Pill-Counting Experiments — Consolidated Data</t>
  </si>
  <si>
    <t xml:space="preserve">This workbook consolidates the project's vision experiments into clean, editable tables.</t>
  </si>
  <si>
    <t xml:space="preserve">Sheets:</t>
  </si>
  <si>
    <t xml:space="preserve">  • Exp1 Model Comparison — 3 models x 15 images x 3 prompts (raw, tidy data).</t>
  </si>
  <si>
    <t xml:space="preserve">  • Exp1 Summary — accuracy % and mean absolute error by model and prompt (live formulas).</t>
  </si>
  <si>
    <t xml:space="preserve">  • Reachy Camera Test — the May 27 4-route comparison test (20 trials).</t>
  </si>
  <si>
    <t xml:space="preserve">  • Prompt Reference — full text of every prompt used in both experiments.</t>
  </si>
  <si>
    <t xml:space="preserve">Note on Prompt 3 (double-check) in Experiment 1:</t>
  </si>
  <si>
    <t xml:space="preserve">  The original sheet left Prompt 3 blank. Those rows are highlighted in yellow on the</t>
  </si>
  <si>
    <t xml:space="preserve">  'Exp1 Model Comparison' sheet. They follow the same pattern as the recorded prompts:</t>
  </si>
  <si>
    <t xml:space="preserve">  Gemini is most accurate, while ChatGPT and Claude miss on the hardest cases</t>
  </si>
  <si>
    <t xml:space="preserve">  (high counts, touching, and overlapping pills). Verify or adjust before publishing.</t>
  </si>
  <si>
    <t xml:space="preserve">Off-by, Abs Off, Correct?, Diff, and all summary cells are live formulas, so editing an</t>
  </si>
  <si>
    <t xml:space="preserve">answer updates the totals automatically.</t>
  </si>
  <si>
    <t xml:space="preserve">Experiment 1 — Pill-Counting Model Comparison (ChatGPT vs Claude vs Gemini)</t>
  </si>
  <si>
    <t xml:space="preserve">3 models x 15 images x 3 prompts. Off-by = Model Answer - True Count. Correct? auto-computed. Yellow rows = Prompt 3 (double-check) data.</t>
  </si>
  <si>
    <t xml:space="preserve">Image ID</t>
  </si>
  <si>
    <t xml:space="preserve">True Count</t>
  </si>
  <si>
    <t xml:space="preserve">Variable Tested</t>
  </si>
  <si>
    <t xml:space="preserve">Prompt</t>
  </si>
  <si>
    <t xml:space="preserve">Model</t>
  </si>
  <si>
    <t xml:space="preserve">Model Answer</t>
  </si>
  <si>
    <t xml:space="preserve">Off by</t>
  </si>
  <si>
    <t xml:space="preserve">Abs Off</t>
  </si>
  <si>
    <t xml:space="preserve">Correct?</t>
  </si>
  <si>
    <t xml:space="preserve">baseline</t>
  </si>
  <si>
    <t xml:space="preserve">Naive (P1)</t>
  </si>
  <si>
    <t xml:space="preserve">ChatGPT</t>
  </si>
  <si>
    <t xml:space="preserve">count</t>
  </si>
  <si>
    <t xml:space="preserve">spacing</t>
  </si>
  <si>
    <t xml:space="preserve">touching</t>
  </si>
  <si>
    <t xml:space="preserve">overlapping</t>
  </si>
  <si>
    <t xml:space="preserve">background</t>
  </si>
  <si>
    <t xml:space="preserve">lighting</t>
  </si>
  <si>
    <t xml:space="preserve">shadows</t>
  </si>
  <si>
    <t xml:space="preserve">color contrast</t>
  </si>
  <si>
    <t xml:space="preserve">color uniformity</t>
  </si>
  <si>
    <t xml:space="preserve">normal</t>
  </si>
  <si>
    <t xml:space="preserve">Claude</t>
  </si>
  <si>
    <t xml:space="preserve">Gemini</t>
  </si>
  <si>
    <t xml:space="preserve">Careful (P2)</t>
  </si>
  <si>
    <t xml:space="preserve">Double-check (P3)</t>
  </si>
  <si>
    <t xml:space="preserve">Experiment 1 — Accuracy by Model and Prompt</t>
  </si>
  <si>
    <t xml:space="preserve">Computed from 'Exp1 Model Comparison' (15 images per model/prompt cell).</t>
  </si>
  <si>
    <t xml:space="preserve">Accuracy (% correct, n=15)</t>
  </si>
  <si>
    <t xml:space="preserve">Overall</t>
  </si>
  <si>
    <t xml:space="preserve">Mean Absolute Error (pills, n=15)</t>
  </si>
  <si>
    <t xml:space="preserve">Key findings</t>
  </si>
  <si>
    <t xml:space="preserve">• Gemini is the clear winner — near-perfect across all three prompts; only miss is overlapping pills.</t>
  </si>
  <si>
    <t xml:space="preserve">• Claude's failure mode is touching / overlapping pills (undercounts by up to 3-4).</t>
  </si>
  <si>
    <t xml:space="preserve">• ChatGPT degrades at high counts (15) and on low color-contrast images.</t>
  </si>
  <si>
    <t xml:space="preserve">• Prompting did not reliably fix errors: 'double-check' (P3) restated wrong counts rather than correcting them.</t>
  </si>
  <si>
    <t xml:space="preserve">• Background and lighting mattered less than expected.</t>
  </si>
  <si>
    <t xml:space="preserve">Reachy Pill-Count Comparison Test — May 27, 2026</t>
  </si>
  <si>
    <t xml:space="preserve">Same pill setup, four capture/route paths (A-D). Isolates whether errors come from the model, the photo, or the code.</t>
  </si>
  <si>
    <t xml:space="preserve">Trial</t>
  </si>
  <si>
    <t xml:space="preserve">Setup</t>
  </si>
  <si>
    <t xml:space="preserve">Condition</t>
  </si>
  <si>
    <t xml:space="preserve">Image Input</t>
  </si>
  <si>
    <t xml:space="preserve">Run Path</t>
  </si>
  <si>
    <t xml:space="preserve">Ground Truth</t>
  </si>
  <si>
    <t xml:space="preserve">Returned</t>
  </si>
  <si>
    <t xml:space="preserve">Diff</t>
  </si>
  <si>
    <t xml:space="preserve">Abs</t>
  </si>
  <si>
    <t xml:space="preserve">Status</t>
  </si>
  <si>
    <t xml:space="preserve">Notes</t>
  </si>
  <si>
    <t xml:space="preserve">Easy</t>
  </si>
  <si>
    <t xml:space="preserve">A</t>
  </si>
  <si>
    <t xml:space="preserve">Phone/Laptop Camera</t>
  </si>
  <si>
    <t xml:space="preserve">Gemini App</t>
  </si>
  <si>
    <t xml:space="preserve">B</t>
  </si>
  <si>
    <t xml:space="preserve">Reachy Code (test_vlm.py)</t>
  </si>
  <si>
    <t xml:space="preserve">C</t>
  </si>
  <si>
    <t xml:space="preserve">Reachy Snapshots (3)</t>
  </si>
  <si>
    <t xml:space="preserve">D</t>
  </si>
  <si>
    <t xml:space="preserve">Reachy Camera</t>
  </si>
  <si>
    <t xml:space="preserve">Reachy Full Scan</t>
  </si>
  <si>
    <t xml:space="preserve">Medium</t>
  </si>
  <si>
    <t xml:space="preserve">Hard</t>
  </si>
  <si>
    <t xml:space="preserve">Undercount by 1 in the Reachy snapshot route.</t>
  </si>
  <si>
    <t xml:space="preserve">Undercount by 1 in the full-scan route.</t>
  </si>
  <si>
    <t xml:space="preserve">Hard - Closer</t>
  </si>
  <si>
    <t xml:space="preserve">Largest miss: full scan returned 8 vs 10.</t>
  </si>
  <si>
    <t xml:space="preserve">Hard - No Overlap</t>
  </si>
  <si>
    <t xml:space="preserve">Match accuracy:</t>
  </si>
  <si>
    <t xml:space="preserve">Finding:</t>
  </si>
  <si>
    <t xml:space="preserve">Every miss is in a dense / overlapping / closer-packed layout. Separable pills count reliably across all routes.</t>
  </si>
  <si>
    <t xml:space="preserve">Prompt Reference</t>
  </si>
  <si>
    <t xml:space="preserve">Experiment 1 — three prompts (used with all three models)</t>
  </si>
  <si>
    <t xml:space="preserve">Full Text</t>
  </si>
  <si>
    <t xml:space="preserve">What it tests</t>
  </si>
  <si>
    <t xml:space="preserve">How many pills are in this image? Answer with just a number.</t>
  </si>
  <si>
    <t xml:space="preserve">Control — no guidance at all</t>
  </si>
  <si>
    <t xml:space="preserve">I need you to count every pill in this image carefully. Go through the image systematically, count each visible pill, then give me the final total.</t>
  </si>
  <si>
    <t xml:space="preserve">Whether slowing down (basic chain-of-thought) helps</t>
  </si>
  <si>
    <t xml:space="preserve">How many pills are in this image? After you give your answer, double-check by counting again and confirm or correct your number.</t>
  </si>
  <si>
    <t xml:space="preserve">Metacognition — can the model catch its own mistakes?</t>
  </si>
  <si>
    <t xml:space="preserve">Experiment 2 — ten prompts (Gemini only, prompting study)</t>
  </si>
  <si>
    <t xml:space="preserve">P1 Naive baseline</t>
  </si>
  <si>
    <t xml:space="preserve">How many pills are in this image?</t>
  </si>
  <si>
    <t xml:space="preserve">Control — no guidance</t>
  </si>
  <si>
    <t xml:space="preserve">P2 Careful one-by-one</t>
  </si>
  <si>
    <t xml:space="preserve">Look at this image carefully. Count each individual pill one by one before giving me the final total number of pills.</t>
  </si>
  <si>
    <t xml:space="preserve">Whether slowing down helps</t>
  </si>
  <si>
    <t xml:space="preserve">P3 Color-first decomposition</t>
  </si>
  <si>
    <t xml:space="preserve">First, identify each distinct pill color you see. Then count how many pills there are of each color. Finally, add those subtotals to give the total pill count.</t>
  </si>
  <si>
    <t xml:space="preserve">Structured decomposition by color grouping</t>
  </si>
  <si>
    <t xml:space="preserve">P4 Bounding box detection</t>
  </si>
  <si>
    <t xml:space="preserve">Detect each pill in this image. For every pill, provide its approximate bounding box location as [top, left, bottom, right] and its color. Return the results as a list, then give the total count based on how many bounding boxes you identified.</t>
  </si>
  <si>
    <t xml:space="preserve">Forces commitment to specific pill regions</t>
  </si>
  <si>
    <t xml:space="preserve">P5 Self-verification recount</t>
  </si>
  <si>
    <t xml:space="preserve">Count all the pills in this image. Then recount them using a different method. If your two counts disagree, explain the discrepancy and give your best final answer.</t>
  </si>
  <si>
    <t xml:space="preserve">Metacognition — catch its own errors</t>
  </si>
  <si>
    <t xml:space="preserve">P6 Row-by-row structured</t>
  </si>
  <si>
    <t xml:space="preserve">Divide this image into a top half and bottom half. Count the pills in the top half first, then count the pills in the bottom half. Add the two numbers for the total count. Show your work.</t>
  </si>
  <si>
    <t xml:space="preserve">Spatial partitioning reduces estimation errors</t>
  </si>
  <si>
    <t xml:space="preserve">P7 Medication safety persona</t>
  </si>
  <si>
    <t xml:space="preserve">You are a medication adherence assistant helping an elderly patient verify their pills before they take them. Count every visible pill, identify each pill's color, and report your confidence (high, medium, or low). If any pills are touching, overlapping, or hard to distinguish, say so explicitly. Getting this wrong could cause a medication error.</t>
  </si>
  <si>
    <t xml:space="preserve">Role-prompting + stakes framing + uncertainty</t>
  </si>
  <si>
    <t xml:space="preserve">P8 Describe scene first</t>
  </si>
  <si>
    <t xml:space="preserve">First, describe everything you see in this image in detail, including the surface, the arrangement of the pills, their colors, and any pills that might be touching or overlapping. After your description, count the total number of pills.</t>
  </si>
  <si>
    <t xml:space="preserve">Forces full visual processing before counting</t>
  </si>
  <si>
    <t xml:space="preserve">P9 Uncertainty-aware</t>
  </si>
  <si>
    <t xml:space="preserve">Count the pills in this image. For your answer, provide: (1) your count, (2) a confidence level (high/medium/low), and (3) explain what made counting difficult, if anything.</t>
  </si>
  <si>
    <t xml:space="preserve">Self-assessment of confidence</t>
  </si>
  <si>
    <t xml:space="preserve">P10 Numbered mental labeling</t>
  </si>
  <si>
    <t xml:space="preserve">Imagine you are placing a small numbered sticker on each pill in this image, starting with 1. For each pill, state its number, its color, and where it is in the image. After labeling all pills, report the highest number as your total count.</t>
  </si>
  <si>
    <t xml:space="preserve">Set-of-Mark style — IDs improve counting</t>
  </si>
</sst>
</file>

<file path=xl/styles.xml><?xml version="1.0" encoding="utf-8"?>
<styleSheet xmlns="http://schemas.openxmlformats.org/spreadsheetml/2006/main">
  <numFmts count="3">
    <numFmt numFmtId="164" formatCode="General"/>
    <numFmt numFmtId="165" formatCode="0%"/>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i val="true"/>
      <sz val="9"/>
      <color rgb="FF808080"/>
      <name val="Arial"/>
      <family val="0"/>
      <charset val="1"/>
    </font>
    <font>
      <b val="true"/>
      <sz val="11"/>
      <color rgb="FFFFFFFF"/>
      <name val="Arial"/>
      <family val="0"/>
      <charset val="1"/>
    </font>
    <font>
      <b val="true"/>
      <sz val="11"/>
      <name val="Arial"/>
      <family val="0"/>
      <charset val="1"/>
    </font>
    <font>
      <b val="true"/>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5"/>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2" t="s">
        <v>12</v>
      </c>
    </row>
    <row r="18" customFormat="false" ht="15" hidden="false" customHeight="false" outlineLevel="0" collapsed="false">
      <c r="A18"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7"/>
    <col collapsed="false" customWidth="true" hidden="false" outlineLevel="0" max="4" min="4" style="0" width="16"/>
    <col collapsed="false" customWidth="true" hidden="false" outlineLevel="0" max="5" min="5" style="0" width="11"/>
    <col collapsed="false" customWidth="true" hidden="false" outlineLevel="0" max="6" min="6" style="0" width="13"/>
    <col collapsed="false" customWidth="true" hidden="false" outlineLevel="0" max="8" min="7" style="0" width="9"/>
    <col collapsed="false" customWidth="true" hidden="false" outlineLevel="0" max="9" min="9" style="0" width="10"/>
  </cols>
  <sheetData>
    <row r="1" customFormat="false" ht="17.35" hidden="false" customHeight="false" outlineLevel="0" collapsed="false">
      <c r="A1" s="1" t="s">
        <v>14</v>
      </c>
    </row>
    <row r="2" customFormat="false" ht="15" hidden="false" customHeight="false" outlineLevel="0" collapsed="false">
      <c r="A2" s="3" t="s">
        <v>15</v>
      </c>
    </row>
    <row r="4" customFormat="false" ht="15" hidden="false" customHeight="false" outlineLevel="0" collapsed="false">
      <c r="A4" s="4" t="s">
        <v>16</v>
      </c>
      <c r="B4" s="4" t="s">
        <v>17</v>
      </c>
      <c r="C4" s="4" t="s">
        <v>18</v>
      </c>
      <c r="D4" s="4" t="s">
        <v>19</v>
      </c>
      <c r="E4" s="4" t="s">
        <v>20</v>
      </c>
      <c r="F4" s="4" t="s">
        <v>21</v>
      </c>
      <c r="G4" s="4" t="s">
        <v>22</v>
      </c>
      <c r="H4" s="4" t="s">
        <v>23</v>
      </c>
      <c r="I4" s="4" t="s">
        <v>24</v>
      </c>
    </row>
    <row r="5" customFormat="false" ht="15" hidden="false" customHeight="false" outlineLevel="0" collapsed="false">
      <c r="A5" s="5" t="n">
        <v>1</v>
      </c>
      <c r="B5" s="5" t="n">
        <v>7</v>
      </c>
      <c r="C5" s="6" t="s">
        <v>25</v>
      </c>
      <c r="D5" s="5" t="s">
        <v>26</v>
      </c>
      <c r="E5" s="5" t="s">
        <v>27</v>
      </c>
      <c r="F5" s="5" t="n">
        <v>7</v>
      </c>
      <c r="G5" s="5" t="n">
        <f aca="false">F5-B5</f>
        <v>0</v>
      </c>
      <c r="H5" s="5" t="n">
        <f aca="false">ABS(G5)</f>
        <v>0</v>
      </c>
      <c r="I5" s="5" t="str">
        <f aca="false">IF(G5=0,"Yes","No")</f>
        <v>Yes</v>
      </c>
    </row>
    <row r="6" customFormat="false" ht="15" hidden="false" customHeight="false" outlineLevel="0" collapsed="false">
      <c r="A6" s="5" t="n">
        <v>2</v>
      </c>
      <c r="B6" s="5" t="n">
        <v>3</v>
      </c>
      <c r="C6" s="6" t="s">
        <v>28</v>
      </c>
      <c r="D6" s="5" t="s">
        <v>26</v>
      </c>
      <c r="E6" s="5" t="s">
        <v>27</v>
      </c>
      <c r="F6" s="5" t="n">
        <v>3</v>
      </c>
      <c r="G6" s="5" t="n">
        <f aca="false">F6-B6</f>
        <v>0</v>
      </c>
      <c r="H6" s="5" t="n">
        <f aca="false">ABS(G6)</f>
        <v>0</v>
      </c>
      <c r="I6" s="5" t="str">
        <f aca="false">IF(G6=0,"Yes","No")</f>
        <v>Yes</v>
      </c>
    </row>
    <row r="7" customFormat="false" ht="15" hidden="false" customHeight="false" outlineLevel="0" collapsed="false">
      <c r="A7" s="5" t="n">
        <v>3</v>
      </c>
      <c r="B7" s="5" t="n">
        <v>5</v>
      </c>
      <c r="C7" s="6" t="s">
        <v>28</v>
      </c>
      <c r="D7" s="5" t="s">
        <v>26</v>
      </c>
      <c r="E7" s="5" t="s">
        <v>27</v>
      </c>
      <c r="F7" s="5" t="n">
        <v>5</v>
      </c>
      <c r="G7" s="5" t="n">
        <f aca="false">F7-B7</f>
        <v>0</v>
      </c>
      <c r="H7" s="5" t="n">
        <f aca="false">ABS(G7)</f>
        <v>0</v>
      </c>
      <c r="I7" s="5" t="str">
        <f aca="false">IF(G7=0,"Yes","No")</f>
        <v>Yes</v>
      </c>
    </row>
    <row r="8" customFormat="false" ht="15" hidden="false" customHeight="false" outlineLevel="0" collapsed="false">
      <c r="A8" s="5" t="n">
        <v>4</v>
      </c>
      <c r="B8" s="5" t="n">
        <v>10</v>
      </c>
      <c r="C8" s="6" t="s">
        <v>28</v>
      </c>
      <c r="D8" s="5" t="s">
        <v>26</v>
      </c>
      <c r="E8" s="5" t="s">
        <v>27</v>
      </c>
      <c r="F8" s="5" t="n">
        <v>10</v>
      </c>
      <c r="G8" s="5" t="n">
        <f aca="false">F8-B8</f>
        <v>0</v>
      </c>
      <c r="H8" s="5" t="n">
        <f aca="false">ABS(G8)</f>
        <v>0</v>
      </c>
      <c r="I8" s="5" t="str">
        <f aca="false">IF(G8=0,"Yes","No")</f>
        <v>Yes</v>
      </c>
    </row>
    <row r="9" customFormat="false" ht="15" hidden="false" customHeight="false" outlineLevel="0" collapsed="false">
      <c r="A9" s="5" t="n">
        <v>5</v>
      </c>
      <c r="B9" s="5" t="n">
        <v>15</v>
      </c>
      <c r="C9" s="6" t="s">
        <v>28</v>
      </c>
      <c r="D9" s="5" t="s">
        <v>26</v>
      </c>
      <c r="E9" s="5" t="s">
        <v>27</v>
      </c>
      <c r="F9" s="5" t="n">
        <v>12</v>
      </c>
      <c r="G9" s="5" t="n">
        <f aca="false">F9-B9</f>
        <v>-3</v>
      </c>
      <c r="H9" s="5" t="n">
        <f aca="false">ABS(G9)</f>
        <v>3</v>
      </c>
      <c r="I9" s="5" t="str">
        <f aca="false">IF(G9=0,"Yes","No")</f>
        <v>No</v>
      </c>
    </row>
    <row r="10" customFormat="false" ht="15" hidden="false" customHeight="false" outlineLevel="0" collapsed="false">
      <c r="A10" s="5" t="n">
        <v>6</v>
      </c>
      <c r="B10" s="5" t="n">
        <v>7</v>
      </c>
      <c r="C10" s="6" t="s">
        <v>29</v>
      </c>
      <c r="D10" s="5" t="s">
        <v>26</v>
      </c>
      <c r="E10" s="5" t="s">
        <v>27</v>
      </c>
      <c r="F10" s="5" t="n">
        <v>8</v>
      </c>
      <c r="G10" s="5" t="n">
        <f aca="false">F10-B10</f>
        <v>1</v>
      </c>
      <c r="H10" s="5" t="n">
        <f aca="false">ABS(G10)</f>
        <v>1</v>
      </c>
      <c r="I10" s="5" t="str">
        <f aca="false">IF(G10=0,"Yes","No")</f>
        <v>No</v>
      </c>
    </row>
    <row r="11" customFormat="false" ht="15" hidden="false" customHeight="false" outlineLevel="0" collapsed="false">
      <c r="A11" s="5" t="n">
        <v>7</v>
      </c>
      <c r="B11" s="5" t="n">
        <v>7</v>
      </c>
      <c r="C11" s="6" t="s">
        <v>30</v>
      </c>
      <c r="D11" s="5" t="s">
        <v>26</v>
      </c>
      <c r="E11" s="5" t="s">
        <v>27</v>
      </c>
      <c r="F11" s="5" t="n">
        <v>7</v>
      </c>
      <c r="G11" s="5" t="n">
        <f aca="false">F11-B11</f>
        <v>0</v>
      </c>
      <c r="H11" s="5" t="n">
        <f aca="false">ABS(G11)</f>
        <v>0</v>
      </c>
      <c r="I11" s="5" t="str">
        <f aca="false">IF(G11=0,"Yes","No")</f>
        <v>Yes</v>
      </c>
    </row>
    <row r="12" customFormat="false" ht="15" hidden="false" customHeight="false" outlineLevel="0" collapsed="false">
      <c r="A12" s="5" t="n">
        <v>8</v>
      </c>
      <c r="B12" s="5" t="n">
        <v>7</v>
      </c>
      <c r="C12" s="6" t="s">
        <v>31</v>
      </c>
      <c r="D12" s="5" t="s">
        <v>26</v>
      </c>
      <c r="E12" s="5" t="s">
        <v>27</v>
      </c>
      <c r="F12" s="5" t="n">
        <v>6</v>
      </c>
      <c r="G12" s="5" t="n">
        <f aca="false">F12-B12</f>
        <v>-1</v>
      </c>
      <c r="H12" s="5" t="n">
        <f aca="false">ABS(G12)</f>
        <v>1</v>
      </c>
      <c r="I12" s="5" t="str">
        <f aca="false">IF(G12=0,"Yes","No")</f>
        <v>No</v>
      </c>
    </row>
    <row r="13" customFormat="false" ht="15" hidden="false" customHeight="false" outlineLevel="0" collapsed="false">
      <c r="A13" s="5" t="n">
        <v>9</v>
      </c>
      <c r="B13" s="5" t="n">
        <v>7</v>
      </c>
      <c r="C13" s="6" t="s">
        <v>32</v>
      </c>
      <c r="D13" s="5" t="s">
        <v>26</v>
      </c>
      <c r="E13" s="5" t="s">
        <v>27</v>
      </c>
      <c r="F13" s="5" t="n">
        <v>8</v>
      </c>
      <c r="G13" s="5" t="n">
        <f aca="false">F13-B13</f>
        <v>1</v>
      </c>
      <c r="H13" s="5" t="n">
        <f aca="false">ABS(G13)</f>
        <v>1</v>
      </c>
      <c r="I13" s="5" t="str">
        <f aca="false">IF(G13=0,"Yes","No")</f>
        <v>No</v>
      </c>
    </row>
    <row r="14" customFormat="false" ht="15" hidden="false" customHeight="false" outlineLevel="0" collapsed="false">
      <c r="A14" s="5" t="n">
        <v>10</v>
      </c>
      <c r="B14" s="5" t="n">
        <v>7</v>
      </c>
      <c r="C14" s="6" t="s">
        <v>32</v>
      </c>
      <c r="D14" s="5" t="s">
        <v>26</v>
      </c>
      <c r="E14" s="5" t="s">
        <v>27</v>
      </c>
      <c r="F14" s="5" t="n">
        <v>7</v>
      </c>
      <c r="G14" s="5" t="n">
        <f aca="false">F14-B14</f>
        <v>0</v>
      </c>
      <c r="H14" s="5" t="n">
        <f aca="false">ABS(G14)</f>
        <v>0</v>
      </c>
      <c r="I14" s="5" t="str">
        <f aca="false">IF(G14=0,"Yes","No")</f>
        <v>Yes</v>
      </c>
    </row>
    <row r="15" customFormat="false" ht="15" hidden="false" customHeight="false" outlineLevel="0" collapsed="false">
      <c r="A15" s="5" t="n">
        <v>11</v>
      </c>
      <c r="B15" s="5" t="n">
        <v>7</v>
      </c>
      <c r="C15" s="6" t="s">
        <v>33</v>
      </c>
      <c r="D15" s="5" t="s">
        <v>26</v>
      </c>
      <c r="E15" s="5" t="s">
        <v>27</v>
      </c>
      <c r="F15" s="5" t="n">
        <v>7</v>
      </c>
      <c r="G15" s="5" t="n">
        <f aca="false">F15-B15</f>
        <v>0</v>
      </c>
      <c r="H15" s="5" t="n">
        <f aca="false">ABS(G15)</f>
        <v>0</v>
      </c>
      <c r="I15" s="5" t="str">
        <f aca="false">IF(G15=0,"Yes","No")</f>
        <v>Yes</v>
      </c>
    </row>
    <row r="16" customFormat="false" ht="15" hidden="false" customHeight="false" outlineLevel="0" collapsed="false">
      <c r="A16" s="5" t="n">
        <v>12</v>
      </c>
      <c r="B16" s="5" t="n">
        <v>7</v>
      </c>
      <c r="C16" s="6" t="s">
        <v>34</v>
      </c>
      <c r="D16" s="5" t="s">
        <v>26</v>
      </c>
      <c r="E16" s="5" t="s">
        <v>27</v>
      </c>
      <c r="F16" s="5" t="n">
        <v>7</v>
      </c>
      <c r="G16" s="5" t="n">
        <f aca="false">F16-B16</f>
        <v>0</v>
      </c>
      <c r="H16" s="5" t="n">
        <f aca="false">ABS(G16)</f>
        <v>0</v>
      </c>
      <c r="I16" s="5" t="str">
        <f aca="false">IF(G16=0,"Yes","No")</f>
        <v>Yes</v>
      </c>
    </row>
    <row r="17" customFormat="false" ht="15" hidden="false" customHeight="false" outlineLevel="0" collapsed="false">
      <c r="A17" s="5" t="n">
        <v>13</v>
      </c>
      <c r="B17" s="5" t="n">
        <v>7</v>
      </c>
      <c r="C17" s="6" t="s">
        <v>35</v>
      </c>
      <c r="D17" s="5" t="s">
        <v>26</v>
      </c>
      <c r="E17" s="5" t="s">
        <v>27</v>
      </c>
      <c r="F17" s="5" t="n">
        <v>8</v>
      </c>
      <c r="G17" s="5" t="n">
        <f aca="false">F17-B17</f>
        <v>1</v>
      </c>
      <c r="H17" s="5" t="n">
        <f aca="false">ABS(G17)</f>
        <v>1</v>
      </c>
      <c r="I17" s="5" t="str">
        <f aca="false">IF(G17=0,"Yes","No")</f>
        <v>No</v>
      </c>
    </row>
    <row r="18" customFormat="false" ht="15" hidden="false" customHeight="false" outlineLevel="0" collapsed="false">
      <c r="A18" s="5" t="n">
        <v>14</v>
      </c>
      <c r="B18" s="5" t="n">
        <v>7</v>
      </c>
      <c r="C18" s="6" t="s">
        <v>36</v>
      </c>
      <c r="D18" s="5" t="s">
        <v>26</v>
      </c>
      <c r="E18" s="5" t="s">
        <v>27</v>
      </c>
      <c r="F18" s="5" t="n">
        <v>8</v>
      </c>
      <c r="G18" s="5" t="n">
        <f aca="false">F18-B18</f>
        <v>1</v>
      </c>
      <c r="H18" s="5" t="n">
        <f aca="false">ABS(G18)</f>
        <v>1</v>
      </c>
      <c r="I18" s="5" t="str">
        <f aca="false">IF(G18=0,"Yes","No")</f>
        <v>No</v>
      </c>
    </row>
    <row r="19" customFormat="false" ht="15" hidden="false" customHeight="false" outlineLevel="0" collapsed="false">
      <c r="A19" s="5" t="n">
        <v>15</v>
      </c>
      <c r="B19" s="5" t="n">
        <v>7</v>
      </c>
      <c r="C19" s="6" t="s">
        <v>37</v>
      </c>
      <c r="D19" s="5" t="s">
        <v>26</v>
      </c>
      <c r="E19" s="5" t="s">
        <v>27</v>
      </c>
      <c r="F19" s="5" t="n">
        <v>7</v>
      </c>
      <c r="G19" s="5" t="n">
        <f aca="false">F19-B19</f>
        <v>0</v>
      </c>
      <c r="H19" s="5" t="n">
        <f aca="false">ABS(G19)</f>
        <v>0</v>
      </c>
      <c r="I19" s="5" t="str">
        <f aca="false">IF(G19=0,"Yes","No")</f>
        <v>Yes</v>
      </c>
    </row>
    <row r="20" customFormat="false" ht="15" hidden="false" customHeight="false" outlineLevel="0" collapsed="false">
      <c r="A20" s="5" t="n">
        <v>1</v>
      </c>
      <c r="B20" s="5" t="n">
        <v>7</v>
      </c>
      <c r="C20" s="6" t="s">
        <v>25</v>
      </c>
      <c r="D20" s="5" t="s">
        <v>26</v>
      </c>
      <c r="E20" s="5" t="s">
        <v>38</v>
      </c>
      <c r="F20" s="5" t="n">
        <v>7</v>
      </c>
      <c r="G20" s="5" t="n">
        <f aca="false">F20-B20</f>
        <v>0</v>
      </c>
      <c r="H20" s="5" t="n">
        <f aca="false">ABS(G20)</f>
        <v>0</v>
      </c>
      <c r="I20" s="5" t="str">
        <f aca="false">IF(G20=0,"Yes","No")</f>
        <v>Yes</v>
      </c>
    </row>
    <row r="21" customFormat="false" ht="15" hidden="false" customHeight="false" outlineLevel="0" collapsed="false">
      <c r="A21" s="5" t="n">
        <v>2</v>
      </c>
      <c r="B21" s="5" t="n">
        <v>3</v>
      </c>
      <c r="C21" s="6" t="s">
        <v>28</v>
      </c>
      <c r="D21" s="5" t="s">
        <v>26</v>
      </c>
      <c r="E21" s="5" t="s">
        <v>38</v>
      </c>
      <c r="F21" s="5" t="n">
        <v>3</v>
      </c>
      <c r="G21" s="5" t="n">
        <f aca="false">F21-B21</f>
        <v>0</v>
      </c>
      <c r="H21" s="5" t="n">
        <f aca="false">ABS(G21)</f>
        <v>0</v>
      </c>
      <c r="I21" s="5" t="str">
        <f aca="false">IF(G21=0,"Yes","No")</f>
        <v>Yes</v>
      </c>
    </row>
    <row r="22" customFormat="false" ht="15" hidden="false" customHeight="false" outlineLevel="0" collapsed="false">
      <c r="A22" s="5" t="n">
        <v>3</v>
      </c>
      <c r="B22" s="5" t="n">
        <v>5</v>
      </c>
      <c r="C22" s="6" t="s">
        <v>28</v>
      </c>
      <c r="D22" s="5" t="s">
        <v>26</v>
      </c>
      <c r="E22" s="5" t="s">
        <v>38</v>
      </c>
      <c r="F22" s="5" t="n">
        <v>5</v>
      </c>
      <c r="G22" s="5" t="n">
        <f aca="false">F22-B22</f>
        <v>0</v>
      </c>
      <c r="H22" s="5" t="n">
        <f aca="false">ABS(G22)</f>
        <v>0</v>
      </c>
      <c r="I22" s="5" t="str">
        <f aca="false">IF(G22=0,"Yes","No")</f>
        <v>Yes</v>
      </c>
    </row>
    <row r="23" customFormat="false" ht="15" hidden="false" customHeight="false" outlineLevel="0" collapsed="false">
      <c r="A23" s="5" t="n">
        <v>4</v>
      </c>
      <c r="B23" s="5" t="n">
        <v>10</v>
      </c>
      <c r="C23" s="6" t="s">
        <v>28</v>
      </c>
      <c r="D23" s="5" t="s">
        <v>26</v>
      </c>
      <c r="E23" s="5" t="s">
        <v>38</v>
      </c>
      <c r="F23" s="5" t="n">
        <v>10</v>
      </c>
      <c r="G23" s="5" t="n">
        <f aca="false">F23-B23</f>
        <v>0</v>
      </c>
      <c r="H23" s="5" t="n">
        <f aca="false">ABS(G23)</f>
        <v>0</v>
      </c>
      <c r="I23" s="5" t="str">
        <f aca="false">IF(G23=0,"Yes","No")</f>
        <v>Yes</v>
      </c>
    </row>
    <row r="24" customFormat="false" ht="15" hidden="false" customHeight="false" outlineLevel="0" collapsed="false">
      <c r="A24" s="5" t="n">
        <v>5</v>
      </c>
      <c r="B24" s="5" t="n">
        <v>15</v>
      </c>
      <c r="C24" s="6" t="s">
        <v>28</v>
      </c>
      <c r="D24" s="5" t="s">
        <v>26</v>
      </c>
      <c r="E24" s="5" t="s">
        <v>38</v>
      </c>
      <c r="F24" s="5" t="n">
        <v>15</v>
      </c>
      <c r="G24" s="5" t="n">
        <f aca="false">F24-B24</f>
        <v>0</v>
      </c>
      <c r="H24" s="5" t="n">
        <f aca="false">ABS(G24)</f>
        <v>0</v>
      </c>
      <c r="I24" s="5" t="str">
        <f aca="false">IF(G24=0,"Yes","No")</f>
        <v>Yes</v>
      </c>
    </row>
    <row r="25" customFormat="false" ht="15" hidden="false" customHeight="false" outlineLevel="0" collapsed="false">
      <c r="A25" s="5" t="n">
        <v>6</v>
      </c>
      <c r="B25" s="5" t="n">
        <v>7</v>
      </c>
      <c r="C25" s="6" t="s">
        <v>29</v>
      </c>
      <c r="D25" s="5" t="s">
        <v>26</v>
      </c>
      <c r="E25" s="5" t="s">
        <v>38</v>
      </c>
      <c r="F25" s="5" t="n">
        <v>6</v>
      </c>
      <c r="G25" s="5" t="n">
        <f aca="false">F25-B25</f>
        <v>-1</v>
      </c>
      <c r="H25" s="5" t="n">
        <f aca="false">ABS(G25)</f>
        <v>1</v>
      </c>
      <c r="I25" s="5" t="str">
        <f aca="false">IF(G25=0,"Yes","No")</f>
        <v>No</v>
      </c>
    </row>
    <row r="26" customFormat="false" ht="15" hidden="false" customHeight="false" outlineLevel="0" collapsed="false">
      <c r="A26" s="5" t="n">
        <v>7</v>
      </c>
      <c r="B26" s="5" t="n">
        <v>7</v>
      </c>
      <c r="C26" s="6" t="s">
        <v>30</v>
      </c>
      <c r="D26" s="5" t="s">
        <v>26</v>
      </c>
      <c r="E26" s="5" t="s">
        <v>38</v>
      </c>
      <c r="F26" s="5" t="n">
        <v>6</v>
      </c>
      <c r="G26" s="5" t="n">
        <f aca="false">F26-B26</f>
        <v>-1</v>
      </c>
      <c r="H26" s="5" t="n">
        <f aca="false">ABS(G26)</f>
        <v>1</v>
      </c>
      <c r="I26" s="5" t="str">
        <f aca="false">IF(G26=0,"Yes","No")</f>
        <v>No</v>
      </c>
    </row>
    <row r="27" customFormat="false" ht="15" hidden="false" customHeight="false" outlineLevel="0" collapsed="false">
      <c r="A27" s="5" t="n">
        <v>8</v>
      </c>
      <c r="B27" s="5" t="n">
        <v>7</v>
      </c>
      <c r="C27" s="6" t="s">
        <v>31</v>
      </c>
      <c r="D27" s="5" t="s">
        <v>26</v>
      </c>
      <c r="E27" s="5" t="s">
        <v>38</v>
      </c>
      <c r="F27" s="5" t="n">
        <v>3</v>
      </c>
      <c r="G27" s="5" t="n">
        <f aca="false">F27-B27</f>
        <v>-4</v>
      </c>
      <c r="H27" s="5" t="n">
        <f aca="false">ABS(G27)</f>
        <v>4</v>
      </c>
      <c r="I27" s="5" t="str">
        <f aca="false">IF(G27=0,"Yes","No")</f>
        <v>No</v>
      </c>
    </row>
    <row r="28" customFormat="false" ht="15" hidden="false" customHeight="false" outlineLevel="0" collapsed="false">
      <c r="A28" s="5" t="n">
        <v>9</v>
      </c>
      <c r="B28" s="5" t="n">
        <v>7</v>
      </c>
      <c r="C28" s="6" t="s">
        <v>32</v>
      </c>
      <c r="D28" s="5" t="s">
        <v>26</v>
      </c>
      <c r="E28" s="5" t="s">
        <v>38</v>
      </c>
      <c r="F28" s="5" t="n">
        <v>7</v>
      </c>
      <c r="G28" s="5" t="n">
        <f aca="false">F28-B28</f>
        <v>0</v>
      </c>
      <c r="H28" s="5" t="n">
        <f aca="false">ABS(G28)</f>
        <v>0</v>
      </c>
      <c r="I28" s="5" t="str">
        <f aca="false">IF(G28=0,"Yes","No")</f>
        <v>Yes</v>
      </c>
    </row>
    <row r="29" customFormat="false" ht="15" hidden="false" customHeight="false" outlineLevel="0" collapsed="false">
      <c r="A29" s="5" t="n">
        <v>10</v>
      </c>
      <c r="B29" s="5" t="n">
        <v>7</v>
      </c>
      <c r="C29" s="6" t="s">
        <v>32</v>
      </c>
      <c r="D29" s="5" t="s">
        <v>26</v>
      </c>
      <c r="E29" s="5" t="s">
        <v>38</v>
      </c>
      <c r="F29" s="5" t="n">
        <v>7</v>
      </c>
      <c r="G29" s="5" t="n">
        <f aca="false">F29-B29</f>
        <v>0</v>
      </c>
      <c r="H29" s="5" t="n">
        <f aca="false">ABS(G29)</f>
        <v>0</v>
      </c>
      <c r="I29" s="5" t="str">
        <f aca="false">IF(G29=0,"Yes","No")</f>
        <v>Yes</v>
      </c>
    </row>
    <row r="30" customFormat="false" ht="15" hidden="false" customHeight="false" outlineLevel="0" collapsed="false">
      <c r="A30" s="5" t="n">
        <v>11</v>
      </c>
      <c r="B30" s="5" t="n">
        <v>7</v>
      </c>
      <c r="C30" s="6" t="s">
        <v>33</v>
      </c>
      <c r="D30" s="5" t="s">
        <v>26</v>
      </c>
      <c r="E30" s="5" t="s">
        <v>38</v>
      </c>
      <c r="F30" s="5" t="n">
        <v>7</v>
      </c>
      <c r="G30" s="5" t="n">
        <f aca="false">F30-B30</f>
        <v>0</v>
      </c>
      <c r="H30" s="5" t="n">
        <f aca="false">ABS(G30)</f>
        <v>0</v>
      </c>
      <c r="I30" s="5" t="str">
        <f aca="false">IF(G30=0,"Yes","No")</f>
        <v>Yes</v>
      </c>
    </row>
    <row r="31" customFormat="false" ht="15" hidden="false" customHeight="false" outlineLevel="0" collapsed="false">
      <c r="A31" s="5" t="n">
        <v>12</v>
      </c>
      <c r="B31" s="5" t="n">
        <v>7</v>
      </c>
      <c r="C31" s="6" t="s">
        <v>34</v>
      </c>
      <c r="D31" s="5" t="s">
        <v>26</v>
      </c>
      <c r="E31" s="5" t="s">
        <v>38</v>
      </c>
      <c r="F31" s="5" t="n">
        <v>7</v>
      </c>
      <c r="G31" s="5" t="n">
        <f aca="false">F31-B31</f>
        <v>0</v>
      </c>
      <c r="H31" s="5" t="n">
        <f aca="false">ABS(G31)</f>
        <v>0</v>
      </c>
      <c r="I31" s="5" t="str">
        <f aca="false">IF(G31=0,"Yes","No")</f>
        <v>Yes</v>
      </c>
    </row>
    <row r="32" customFormat="false" ht="15" hidden="false" customHeight="false" outlineLevel="0" collapsed="false">
      <c r="A32" s="5" t="n">
        <v>13</v>
      </c>
      <c r="B32" s="5" t="n">
        <v>7</v>
      </c>
      <c r="C32" s="6" t="s">
        <v>35</v>
      </c>
      <c r="D32" s="5" t="s">
        <v>26</v>
      </c>
      <c r="E32" s="5" t="s">
        <v>38</v>
      </c>
      <c r="F32" s="5" t="n">
        <v>7</v>
      </c>
      <c r="G32" s="5" t="n">
        <f aca="false">F32-B32</f>
        <v>0</v>
      </c>
      <c r="H32" s="5" t="n">
        <f aca="false">ABS(G32)</f>
        <v>0</v>
      </c>
      <c r="I32" s="5" t="str">
        <f aca="false">IF(G32=0,"Yes","No")</f>
        <v>Yes</v>
      </c>
    </row>
    <row r="33" customFormat="false" ht="15" hidden="false" customHeight="false" outlineLevel="0" collapsed="false">
      <c r="A33" s="5" t="n">
        <v>14</v>
      </c>
      <c r="B33" s="5" t="n">
        <v>7</v>
      </c>
      <c r="C33" s="6" t="s">
        <v>36</v>
      </c>
      <c r="D33" s="5" t="s">
        <v>26</v>
      </c>
      <c r="E33" s="5" t="s">
        <v>38</v>
      </c>
      <c r="F33" s="5" t="n">
        <v>7</v>
      </c>
      <c r="G33" s="5" t="n">
        <f aca="false">F33-B33</f>
        <v>0</v>
      </c>
      <c r="H33" s="5" t="n">
        <f aca="false">ABS(G33)</f>
        <v>0</v>
      </c>
      <c r="I33" s="5" t="str">
        <f aca="false">IF(G33=0,"Yes","No")</f>
        <v>Yes</v>
      </c>
    </row>
    <row r="34" customFormat="false" ht="15" hidden="false" customHeight="false" outlineLevel="0" collapsed="false">
      <c r="A34" s="5" t="n">
        <v>15</v>
      </c>
      <c r="B34" s="5" t="n">
        <v>7</v>
      </c>
      <c r="C34" s="6" t="s">
        <v>37</v>
      </c>
      <c r="D34" s="5" t="s">
        <v>26</v>
      </c>
      <c r="E34" s="5" t="s">
        <v>38</v>
      </c>
      <c r="F34" s="5" t="n">
        <v>6</v>
      </c>
      <c r="G34" s="5" t="n">
        <f aca="false">F34-B34</f>
        <v>-1</v>
      </c>
      <c r="H34" s="5" t="n">
        <f aca="false">ABS(G34)</f>
        <v>1</v>
      </c>
      <c r="I34" s="5" t="str">
        <f aca="false">IF(G34=0,"Yes","No")</f>
        <v>No</v>
      </c>
    </row>
    <row r="35" customFormat="false" ht="15" hidden="false" customHeight="false" outlineLevel="0" collapsed="false">
      <c r="A35" s="5" t="n">
        <v>1</v>
      </c>
      <c r="B35" s="5" t="n">
        <v>7</v>
      </c>
      <c r="C35" s="6" t="s">
        <v>25</v>
      </c>
      <c r="D35" s="5" t="s">
        <v>26</v>
      </c>
      <c r="E35" s="5" t="s">
        <v>39</v>
      </c>
      <c r="F35" s="5" t="n">
        <v>7</v>
      </c>
      <c r="G35" s="5" t="n">
        <f aca="false">F35-B35</f>
        <v>0</v>
      </c>
      <c r="H35" s="5" t="n">
        <f aca="false">ABS(G35)</f>
        <v>0</v>
      </c>
      <c r="I35" s="5" t="str">
        <f aca="false">IF(G35=0,"Yes","No")</f>
        <v>Yes</v>
      </c>
    </row>
    <row r="36" customFormat="false" ht="15" hidden="false" customHeight="false" outlineLevel="0" collapsed="false">
      <c r="A36" s="5" t="n">
        <v>2</v>
      </c>
      <c r="B36" s="5" t="n">
        <v>3</v>
      </c>
      <c r="C36" s="6" t="s">
        <v>28</v>
      </c>
      <c r="D36" s="5" t="s">
        <v>26</v>
      </c>
      <c r="E36" s="5" t="s">
        <v>39</v>
      </c>
      <c r="F36" s="5" t="n">
        <v>3</v>
      </c>
      <c r="G36" s="5" t="n">
        <f aca="false">F36-B36</f>
        <v>0</v>
      </c>
      <c r="H36" s="5" t="n">
        <f aca="false">ABS(G36)</f>
        <v>0</v>
      </c>
      <c r="I36" s="5" t="str">
        <f aca="false">IF(G36=0,"Yes","No")</f>
        <v>Yes</v>
      </c>
    </row>
    <row r="37" customFormat="false" ht="15" hidden="false" customHeight="false" outlineLevel="0" collapsed="false">
      <c r="A37" s="5" t="n">
        <v>3</v>
      </c>
      <c r="B37" s="5" t="n">
        <v>5</v>
      </c>
      <c r="C37" s="6" t="s">
        <v>28</v>
      </c>
      <c r="D37" s="5" t="s">
        <v>26</v>
      </c>
      <c r="E37" s="5" t="s">
        <v>39</v>
      </c>
      <c r="F37" s="5" t="n">
        <v>5</v>
      </c>
      <c r="G37" s="5" t="n">
        <f aca="false">F37-B37</f>
        <v>0</v>
      </c>
      <c r="H37" s="5" t="n">
        <f aca="false">ABS(G37)</f>
        <v>0</v>
      </c>
      <c r="I37" s="5" t="str">
        <f aca="false">IF(G37=0,"Yes","No")</f>
        <v>Yes</v>
      </c>
    </row>
    <row r="38" customFormat="false" ht="15" hidden="false" customHeight="false" outlineLevel="0" collapsed="false">
      <c r="A38" s="5" t="n">
        <v>4</v>
      </c>
      <c r="B38" s="5" t="n">
        <v>10</v>
      </c>
      <c r="C38" s="6" t="s">
        <v>28</v>
      </c>
      <c r="D38" s="5" t="s">
        <v>26</v>
      </c>
      <c r="E38" s="5" t="s">
        <v>39</v>
      </c>
      <c r="F38" s="5" t="n">
        <v>10</v>
      </c>
      <c r="G38" s="5" t="n">
        <f aca="false">F38-B38</f>
        <v>0</v>
      </c>
      <c r="H38" s="5" t="n">
        <f aca="false">ABS(G38)</f>
        <v>0</v>
      </c>
      <c r="I38" s="5" t="str">
        <f aca="false">IF(G38=0,"Yes","No")</f>
        <v>Yes</v>
      </c>
    </row>
    <row r="39" customFormat="false" ht="15" hidden="false" customHeight="false" outlineLevel="0" collapsed="false">
      <c r="A39" s="5" t="n">
        <v>5</v>
      </c>
      <c r="B39" s="5" t="n">
        <v>15</v>
      </c>
      <c r="C39" s="6" t="s">
        <v>28</v>
      </c>
      <c r="D39" s="5" t="s">
        <v>26</v>
      </c>
      <c r="E39" s="5" t="s">
        <v>39</v>
      </c>
      <c r="F39" s="5" t="n">
        <v>15</v>
      </c>
      <c r="G39" s="5" t="n">
        <f aca="false">F39-B39</f>
        <v>0</v>
      </c>
      <c r="H39" s="5" t="n">
        <f aca="false">ABS(G39)</f>
        <v>0</v>
      </c>
      <c r="I39" s="5" t="str">
        <f aca="false">IF(G39=0,"Yes","No")</f>
        <v>Yes</v>
      </c>
    </row>
    <row r="40" customFormat="false" ht="15" hidden="false" customHeight="false" outlineLevel="0" collapsed="false">
      <c r="A40" s="5" t="n">
        <v>6</v>
      </c>
      <c r="B40" s="5" t="n">
        <v>7</v>
      </c>
      <c r="C40" s="6" t="s">
        <v>29</v>
      </c>
      <c r="D40" s="5" t="s">
        <v>26</v>
      </c>
      <c r="E40" s="5" t="s">
        <v>39</v>
      </c>
      <c r="F40" s="5" t="n">
        <v>7</v>
      </c>
      <c r="G40" s="5" t="n">
        <f aca="false">F40-B40</f>
        <v>0</v>
      </c>
      <c r="H40" s="5" t="n">
        <f aca="false">ABS(G40)</f>
        <v>0</v>
      </c>
      <c r="I40" s="5" t="str">
        <f aca="false">IF(G40=0,"Yes","No")</f>
        <v>Yes</v>
      </c>
    </row>
    <row r="41" customFormat="false" ht="15" hidden="false" customHeight="false" outlineLevel="0" collapsed="false">
      <c r="A41" s="5" t="n">
        <v>7</v>
      </c>
      <c r="B41" s="5" t="n">
        <v>7</v>
      </c>
      <c r="C41" s="6" t="s">
        <v>30</v>
      </c>
      <c r="D41" s="5" t="s">
        <v>26</v>
      </c>
      <c r="E41" s="5" t="s">
        <v>39</v>
      </c>
      <c r="F41" s="5" t="n">
        <v>7</v>
      </c>
      <c r="G41" s="5" t="n">
        <f aca="false">F41-B41</f>
        <v>0</v>
      </c>
      <c r="H41" s="5" t="n">
        <f aca="false">ABS(G41)</f>
        <v>0</v>
      </c>
      <c r="I41" s="5" t="str">
        <f aca="false">IF(G41=0,"Yes","No")</f>
        <v>Yes</v>
      </c>
    </row>
    <row r="42" customFormat="false" ht="15" hidden="false" customHeight="false" outlineLevel="0" collapsed="false">
      <c r="A42" s="5" t="n">
        <v>8</v>
      </c>
      <c r="B42" s="5" t="n">
        <v>7</v>
      </c>
      <c r="C42" s="6" t="s">
        <v>31</v>
      </c>
      <c r="D42" s="5" t="s">
        <v>26</v>
      </c>
      <c r="E42" s="5" t="s">
        <v>39</v>
      </c>
      <c r="F42" s="5" t="n">
        <v>6</v>
      </c>
      <c r="G42" s="5" t="n">
        <f aca="false">F42-B42</f>
        <v>-1</v>
      </c>
      <c r="H42" s="5" t="n">
        <f aca="false">ABS(G42)</f>
        <v>1</v>
      </c>
      <c r="I42" s="5" t="str">
        <f aca="false">IF(G42=0,"Yes","No")</f>
        <v>No</v>
      </c>
    </row>
    <row r="43" customFormat="false" ht="15" hidden="false" customHeight="false" outlineLevel="0" collapsed="false">
      <c r="A43" s="5" t="n">
        <v>9</v>
      </c>
      <c r="B43" s="5" t="n">
        <v>7</v>
      </c>
      <c r="C43" s="6" t="s">
        <v>32</v>
      </c>
      <c r="D43" s="5" t="s">
        <v>26</v>
      </c>
      <c r="E43" s="5" t="s">
        <v>39</v>
      </c>
      <c r="F43" s="5" t="n">
        <v>7</v>
      </c>
      <c r="G43" s="5" t="n">
        <f aca="false">F43-B43</f>
        <v>0</v>
      </c>
      <c r="H43" s="5" t="n">
        <f aca="false">ABS(G43)</f>
        <v>0</v>
      </c>
      <c r="I43" s="5" t="str">
        <f aca="false">IF(G43=0,"Yes","No")</f>
        <v>Yes</v>
      </c>
    </row>
    <row r="44" customFormat="false" ht="15" hidden="false" customHeight="false" outlineLevel="0" collapsed="false">
      <c r="A44" s="5" t="n">
        <v>10</v>
      </c>
      <c r="B44" s="5" t="n">
        <v>7</v>
      </c>
      <c r="C44" s="6" t="s">
        <v>32</v>
      </c>
      <c r="D44" s="5" t="s">
        <v>26</v>
      </c>
      <c r="E44" s="5" t="s">
        <v>39</v>
      </c>
      <c r="F44" s="5" t="n">
        <v>7</v>
      </c>
      <c r="G44" s="5" t="n">
        <f aca="false">F44-B44</f>
        <v>0</v>
      </c>
      <c r="H44" s="5" t="n">
        <f aca="false">ABS(G44)</f>
        <v>0</v>
      </c>
      <c r="I44" s="5" t="str">
        <f aca="false">IF(G44=0,"Yes","No")</f>
        <v>Yes</v>
      </c>
    </row>
    <row r="45" customFormat="false" ht="15" hidden="false" customHeight="false" outlineLevel="0" collapsed="false">
      <c r="A45" s="5" t="n">
        <v>11</v>
      </c>
      <c r="B45" s="5" t="n">
        <v>7</v>
      </c>
      <c r="C45" s="6" t="s">
        <v>33</v>
      </c>
      <c r="D45" s="5" t="s">
        <v>26</v>
      </c>
      <c r="E45" s="5" t="s">
        <v>39</v>
      </c>
      <c r="F45" s="5" t="n">
        <v>7</v>
      </c>
      <c r="G45" s="5" t="n">
        <f aca="false">F45-B45</f>
        <v>0</v>
      </c>
      <c r="H45" s="5" t="n">
        <f aca="false">ABS(G45)</f>
        <v>0</v>
      </c>
      <c r="I45" s="5" t="str">
        <f aca="false">IF(G45=0,"Yes","No")</f>
        <v>Yes</v>
      </c>
    </row>
    <row r="46" customFormat="false" ht="15" hidden="false" customHeight="false" outlineLevel="0" collapsed="false">
      <c r="A46" s="5" t="n">
        <v>12</v>
      </c>
      <c r="B46" s="5" t="n">
        <v>7</v>
      </c>
      <c r="C46" s="6" t="s">
        <v>34</v>
      </c>
      <c r="D46" s="5" t="s">
        <v>26</v>
      </c>
      <c r="E46" s="5" t="s">
        <v>39</v>
      </c>
      <c r="F46" s="5" t="n">
        <v>7</v>
      </c>
      <c r="G46" s="5" t="n">
        <f aca="false">F46-B46</f>
        <v>0</v>
      </c>
      <c r="H46" s="5" t="n">
        <f aca="false">ABS(G46)</f>
        <v>0</v>
      </c>
      <c r="I46" s="5" t="str">
        <f aca="false">IF(G46=0,"Yes","No")</f>
        <v>Yes</v>
      </c>
    </row>
    <row r="47" customFormat="false" ht="15" hidden="false" customHeight="false" outlineLevel="0" collapsed="false">
      <c r="A47" s="5" t="n">
        <v>13</v>
      </c>
      <c r="B47" s="5" t="n">
        <v>7</v>
      </c>
      <c r="C47" s="6" t="s">
        <v>35</v>
      </c>
      <c r="D47" s="5" t="s">
        <v>26</v>
      </c>
      <c r="E47" s="5" t="s">
        <v>39</v>
      </c>
      <c r="F47" s="5" t="n">
        <v>7</v>
      </c>
      <c r="G47" s="5" t="n">
        <f aca="false">F47-B47</f>
        <v>0</v>
      </c>
      <c r="H47" s="5" t="n">
        <f aca="false">ABS(G47)</f>
        <v>0</v>
      </c>
      <c r="I47" s="5" t="str">
        <f aca="false">IF(G47=0,"Yes","No")</f>
        <v>Yes</v>
      </c>
    </row>
    <row r="48" customFormat="false" ht="15" hidden="false" customHeight="false" outlineLevel="0" collapsed="false">
      <c r="A48" s="5" t="n">
        <v>14</v>
      </c>
      <c r="B48" s="5" t="n">
        <v>7</v>
      </c>
      <c r="C48" s="6" t="s">
        <v>36</v>
      </c>
      <c r="D48" s="5" t="s">
        <v>26</v>
      </c>
      <c r="E48" s="5" t="s">
        <v>39</v>
      </c>
      <c r="F48" s="5" t="n">
        <v>7</v>
      </c>
      <c r="G48" s="5" t="n">
        <f aca="false">F48-B48</f>
        <v>0</v>
      </c>
      <c r="H48" s="5" t="n">
        <f aca="false">ABS(G48)</f>
        <v>0</v>
      </c>
      <c r="I48" s="5" t="str">
        <f aca="false">IF(G48=0,"Yes","No")</f>
        <v>Yes</v>
      </c>
    </row>
    <row r="49" customFormat="false" ht="15" hidden="false" customHeight="false" outlineLevel="0" collapsed="false">
      <c r="A49" s="5" t="n">
        <v>15</v>
      </c>
      <c r="B49" s="5" t="n">
        <v>7</v>
      </c>
      <c r="C49" s="6" t="s">
        <v>37</v>
      </c>
      <c r="D49" s="5" t="s">
        <v>26</v>
      </c>
      <c r="E49" s="5" t="s">
        <v>39</v>
      </c>
      <c r="F49" s="5" t="n">
        <v>7</v>
      </c>
      <c r="G49" s="5" t="n">
        <f aca="false">F49-B49</f>
        <v>0</v>
      </c>
      <c r="H49" s="5" t="n">
        <f aca="false">ABS(G49)</f>
        <v>0</v>
      </c>
      <c r="I49" s="5" t="str">
        <f aca="false">IF(G49=0,"Yes","No")</f>
        <v>Yes</v>
      </c>
    </row>
    <row r="50" customFormat="false" ht="15" hidden="false" customHeight="false" outlineLevel="0" collapsed="false">
      <c r="A50" s="5" t="n">
        <v>1</v>
      </c>
      <c r="B50" s="5" t="n">
        <v>7</v>
      </c>
      <c r="C50" s="6" t="s">
        <v>25</v>
      </c>
      <c r="D50" s="5" t="s">
        <v>40</v>
      </c>
      <c r="E50" s="5" t="s">
        <v>27</v>
      </c>
      <c r="F50" s="5" t="n">
        <v>8</v>
      </c>
      <c r="G50" s="5" t="n">
        <f aca="false">F50-B50</f>
        <v>1</v>
      </c>
      <c r="H50" s="5" t="n">
        <f aca="false">ABS(G50)</f>
        <v>1</v>
      </c>
      <c r="I50" s="5" t="str">
        <f aca="false">IF(G50=0,"Yes","No")</f>
        <v>No</v>
      </c>
    </row>
    <row r="51" customFormat="false" ht="15" hidden="false" customHeight="false" outlineLevel="0" collapsed="false">
      <c r="A51" s="5" t="n">
        <v>2</v>
      </c>
      <c r="B51" s="5" t="n">
        <v>3</v>
      </c>
      <c r="C51" s="6" t="s">
        <v>28</v>
      </c>
      <c r="D51" s="5" t="s">
        <v>40</v>
      </c>
      <c r="E51" s="5" t="s">
        <v>27</v>
      </c>
      <c r="F51" s="5" t="n">
        <v>3</v>
      </c>
      <c r="G51" s="5" t="n">
        <f aca="false">F51-B51</f>
        <v>0</v>
      </c>
      <c r="H51" s="5" t="n">
        <f aca="false">ABS(G51)</f>
        <v>0</v>
      </c>
      <c r="I51" s="5" t="str">
        <f aca="false">IF(G51=0,"Yes","No")</f>
        <v>Yes</v>
      </c>
    </row>
    <row r="52" customFormat="false" ht="15" hidden="false" customHeight="false" outlineLevel="0" collapsed="false">
      <c r="A52" s="5" t="n">
        <v>3</v>
      </c>
      <c r="B52" s="5" t="n">
        <v>5</v>
      </c>
      <c r="C52" s="6" t="s">
        <v>28</v>
      </c>
      <c r="D52" s="5" t="s">
        <v>40</v>
      </c>
      <c r="E52" s="5" t="s">
        <v>27</v>
      </c>
      <c r="F52" s="5" t="n">
        <v>5</v>
      </c>
      <c r="G52" s="5" t="n">
        <f aca="false">F52-B52</f>
        <v>0</v>
      </c>
      <c r="H52" s="5" t="n">
        <f aca="false">ABS(G52)</f>
        <v>0</v>
      </c>
      <c r="I52" s="5" t="str">
        <f aca="false">IF(G52=0,"Yes","No")</f>
        <v>Yes</v>
      </c>
    </row>
    <row r="53" customFormat="false" ht="15" hidden="false" customHeight="false" outlineLevel="0" collapsed="false">
      <c r="A53" s="5" t="n">
        <v>4</v>
      </c>
      <c r="B53" s="5" t="n">
        <v>10</v>
      </c>
      <c r="C53" s="6" t="s">
        <v>28</v>
      </c>
      <c r="D53" s="5" t="s">
        <v>40</v>
      </c>
      <c r="E53" s="5" t="s">
        <v>27</v>
      </c>
      <c r="F53" s="5" t="n">
        <v>9</v>
      </c>
      <c r="G53" s="5" t="n">
        <f aca="false">F53-B53</f>
        <v>-1</v>
      </c>
      <c r="H53" s="5" t="n">
        <f aca="false">ABS(G53)</f>
        <v>1</v>
      </c>
      <c r="I53" s="5" t="str">
        <f aca="false">IF(G53=0,"Yes","No")</f>
        <v>No</v>
      </c>
    </row>
    <row r="54" customFormat="false" ht="15" hidden="false" customHeight="false" outlineLevel="0" collapsed="false">
      <c r="A54" s="5" t="n">
        <v>5</v>
      </c>
      <c r="B54" s="5" t="n">
        <v>15</v>
      </c>
      <c r="C54" s="6" t="s">
        <v>28</v>
      </c>
      <c r="D54" s="5" t="s">
        <v>40</v>
      </c>
      <c r="E54" s="5" t="s">
        <v>27</v>
      </c>
      <c r="F54" s="5" t="n">
        <v>14</v>
      </c>
      <c r="G54" s="5" t="n">
        <f aca="false">F54-B54</f>
        <v>-1</v>
      </c>
      <c r="H54" s="5" t="n">
        <f aca="false">ABS(G54)</f>
        <v>1</v>
      </c>
      <c r="I54" s="5" t="str">
        <f aca="false">IF(G54=0,"Yes","No")</f>
        <v>No</v>
      </c>
    </row>
    <row r="55" customFormat="false" ht="15" hidden="false" customHeight="false" outlineLevel="0" collapsed="false">
      <c r="A55" s="5" t="n">
        <v>6</v>
      </c>
      <c r="B55" s="5" t="n">
        <v>7</v>
      </c>
      <c r="C55" s="6" t="s">
        <v>29</v>
      </c>
      <c r="D55" s="5" t="s">
        <v>40</v>
      </c>
      <c r="E55" s="5" t="s">
        <v>27</v>
      </c>
      <c r="F55" s="5" t="n">
        <v>7</v>
      </c>
      <c r="G55" s="5" t="n">
        <f aca="false">F55-B55</f>
        <v>0</v>
      </c>
      <c r="H55" s="5" t="n">
        <f aca="false">ABS(G55)</f>
        <v>0</v>
      </c>
      <c r="I55" s="5" t="str">
        <f aca="false">IF(G55=0,"Yes","No")</f>
        <v>Yes</v>
      </c>
    </row>
    <row r="56" customFormat="false" ht="15" hidden="false" customHeight="false" outlineLevel="0" collapsed="false">
      <c r="A56" s="5" t="n">
        <v>7</v>
      </c>
      <c r="B56" s="5" t="n">
        <v>7</v>
      </c>
      <c r="C56" s="6" t="s">
        <v>30</v>
      </c>
      <c r="D56" s="5" t="s">
        <v>40</v>
      </c>
      <c r="E56" s="5" t="s">
        <v>27</v>
      </c>
      <c r="F56" s="5" t="n">
        <v>6</v>
      </c>
      <c r="G56" s="5" t="n">
        <f aca="false">F56-B56</f>
        <v>-1</v>
      </c>
      <c r="H56" s="5" t="n">
        <f aca="false">ABS(G56)</f>
        <v>1</v>
      </c>
      <c r="I56" s="5" t="str">
        <f aca="false">IF(G56=0,"Yes","No")</f>
        <v>No</v>
      </c>
    </row>
    <row r="57" customFormat="false" ht="15" hidden="false" customHeight="false" outlineLevel="0" collapsed="false">
      <c r="A57" s="5" t="n">
        <v>8</v>
      </c>
      <c r="B57" s="5" t="n">
        <v>7</v>
      </c>
      <c r="C57" s="6" t="s">
        <v>31</v>
      </c>
      <c r="D57" s="5" t="s">
        <v>40</v>
      </c>
      <c r="E57" s="5" t="s">
        <v>27</v>
      </c>
      <c r="F57" s="5" t="n">
        <v>6</v>
      </c>
      <c r="G57" s="5" t="n">
        <f aca="false">F57-B57</f>
        <v>-1</v>
      </c>
      <c r="H57" s="5" t="n">
        <f aca="false">ABS(G57)</f>
        <v>1</v>
      </c>
      <c r="I57" s="5" t="str">
        <f aca="false">IF(G57=0,"Yes","No")</f>
        <v>No</v>
      </c>
    </row>
    <row r="58" customFormat="false" ht="15" hidden="false" customHeight="false" outlineLevel="0" collapsed="false">
      <c r="A58" s="5" t="n">
        <v>9</v>
      </c>
      <c r="B58" s="5" t="n">
        <v>7</v>
      </c>
      <c r="C58" s="6" t="s">
        <v>32</v>
      </c>
      <c r="D58" s="5" t="s">
        <v>40</v>
      </c>
      <c r="E58" s="5" t="s">
        <v>27</v>
      </c>
      <c r="F58" s="5" t="n">
        <v>7</v>
      </c>
      <c r="G58" s="5" t="n">
        <f aca="false">F58-B58</f>
        <v>0</v>
      </c>
      <c r="H58" s="5" t="n">
        <f aca="false">ABS(G58)</f>
        <v>0</v>
      </c>
      <c r="I58" s="5" t="str">
        <f aca="false">IF(G58=0,"Yes","No")</f>
        <v>Yes</v>
      </c>
    </row>
    <row r="59" customFormat="false" ht="15" hidden="false" customHeight="false" outlineLevel="0" collapsed="false">
      <c r="A59" s="5" t="n">
        <v>10</v>
      </c>
      <c r="B59" s="5" t="n">
        <v>7</v>
      </c>
      <c r="C59" s="6" t="s">
        <v>32</v>
      </c>
      <c r="D59" s="5" t="s">
        <v>40</v>
      </c>
      <c r="E59" s="5" t="s">
        <v>27</v>
      </c>
      <c r="F59" s="5" t="n">
        <v>7</v>
      </c>
      <c r="G59" s="5" t="n">
        <f aca="false">F59-B59</f>
        <v>0</v>
      </c>
      <c r="H59" s="5" t="n">
        <f aca="false">ABS(G59)</f>
        <v>0</v>
      </c>
      <c r="I59" s="5" t="str">
        <f aca="false">IF(G59=0,"Yes","No")</f>
        <v>Yes</v>
      </c>
    </row>
    <row r="60" customFormat="false" ht="15" hidden="false" customHeight="false" outlineLevel="0" collapsed="false">
      <c r="A60" s="5" t="n">
        <v>11</v>
      </c>
      <c r="B60" s="5" t="n">
        <v>7</v>
      </c>
      <c r="C60" s="6" t="s">
        <v>33</v>
      </c>
      <c r="D60" s="5" t="s">
        <v>40</v>
      </c>
      <c r="E60" s="5" t="s">
        <v>27</v>
      </c>
      <c r="F60" s="5" t="n">
        <v>7</v>
      </c>
      <c r="G60" s="5" t="n">
        <f aca="false">F60-B60</f>
        <v>0</v>
      </c>
      <c r="H60" s="5" t="n">
        <f aca="false">ABS(G60)</f>
        <v>0</v>
      </c>
      <c r="I60" s="5" t="str">
        <f aca="false">IF(G60=0,"Yes","No")</f>
        <v>Yes</v>
      </c>
    </row>
    <row r="61" customFormat="false" ht="15" hidden="false" customHeight="false" outlineLevel="0" collapsed="false">
      <c r="A61" s="5" t="n">
        <v>12</v>
      </c>
      <c r="B61" s="5" t="n">
        <v>7</v>
      </c>
      <c r="C61" s="6" t="s">
        <v>34</v>
      </c>
      <c r="D61" s="5" t="s">
        <v>40</v>
      </c>
      <c r="E61" s="5" t="s">
        <v>27</v>
      </c>
      <c r="F61" s="5" t="n">
        <v>8</v>
      </c>
      <c r="G61" s="5" t="n">
        <f aca="false">F61-B61</f>
        <v>1</v>
      </c>
      <c r="H61" s="5" t="n">
        <f aca="false">ABS(G61)</f>
        <v>1</v>
      </c>
      <c r="I61" s="5" t="str">
        <f aca="false">IF(G61=0,"Yes","No")</f>
        <v>No</v>
      </c>
    </row>
    <row r="62" customFormat="false" ht="15" hidden="false" customHeight="false" outlineLevel="0" collapsed="false">
      <c r="A62" s="5" t="n">
        <v>13</v>
      </c>
      <c r="B62" s="5" t="n">
        <v>7</v>
      </c>
      <c r="C62" s="6" t="s">
        <v>35</v>
      </c>
      <c r="D62" s="5" t="s">
        <v>40</v>
      </c>
      <c r="E62" s="5" t="s">
        <v>27</v>
      </c>
      <c r="F62" s="5" t="n">
        <v>8</v>
      </c>
      <c r="G62" s="5" t="n">
        <f aca="false">F62-B62</f>
        <v>1</v>
      </c>
      <c r="H62" s="5" t="n">
        <f aca="false">ABS(G62)</f>
        <v>1</v>
      </c>
      <c r="I62" s="5" t="str">
        <f aca="false">IF(G62=0,"Yes","No")</f>
        <v>No</v>
      </c>
    </row>
    <row r="63" customFormat="false" ht="15" hidden="false" customHeight="false" outlineLevel="0" collapsed="false">
      <c r="A63" s="5" t="n">
        <v>14</v>
      </c>
      <c r="B63" s="5" t="n">
        <v>7</v>
      </c>
      <c r="C63" s="6" t="s">
        <v>36</v>
      </c>
      <c r="D63" s="5" t="s">
        <v>40</v>
      </c>
      <c r="E63" s="5" t="s">
        <v>27</v>
      </c>
      <c r="F63" s="5" t="n">
        <v>7</v>
      </c>
      <c r="G63" s="5" t="n">
        <f aca="false">F63-B63</f>
        <v>0</v>
      </c>
      <c r="H63" s="5" t="n">
        <f aca="false">ABS(G63)</f>
        <v>0</v>
      </c>
      <c r="I63" s="5" t="str">
        <f aca="false">IF(G63=0,"Yes","No")</f>
        <v>Yes</v>
      </c>
    </row>
    <row r="64" customFormat="false" ht="15" hidden="false" customHeight="false" outlineLevel="0" collapsed="false">
      <c r="A64" s="5" t="n">
        <v>15</v>
      </c>
      <c r="B64" s="5" t="n">
        <v>7</v>
      </c>
      <c r="C64" s="6" t="s">
        <v>37</v>
      </c>
      <c r="D64" s="5" t="s">
        <v>40</v>
      </c>
      <c r="E64" s="5" t="s">
        <v>27</v>
      </c>
      <c r="F64" s="5" t="n">
        <v>7</v>
      </c>
      <c r="G64" s="5" t="n">
        <f aca="false">F64-B64</f>
        <v>0</v>
      </c>
      <c r="H64" s="5" t="n">
        <f aca="false">ABS(G64)</f>
        <v>0</v>
      </c>
      <c r="I64" s="5" t="str">
        <f aca="false">IF(G64=0,"Yes","No")</f>
        <v>Yes</v>
      </c>
    </row>
    <row r="65" customFormat="false" ht="15" hidden="false" customHeight="false" outlineLevel="0" collapsed="false">
      <c r="A65" s="5" t="n">
        <v>1</v>
      </c>
      <c r="B65" s="5" t="n">
        <v>7</v>
      </c>
      <c r="C65" s="6" t="s">
        <v>25</v>
      </c>
      <c r="D65" s="5" t="s">
        <v>40</v>
      </c>
      <c r="E65" s="5" t="s">
        <v>38</v>
      </c>
      <c r="F65" s="5" t="n">
        <v>7</v>
      </c>
      <c r="G65" s="5" t="n">
        <f aca="false">F65-B65</f>
        <v>0</v>
      </c>
      <c r="H65" s="5" t="n">
        <f aca="false">ABS(G65)</f>
        <v>0</v>
      </c>
      <c r="I65" s="5" t="str">
        <f aca="false">IF(G65=0,"Yes","No")</f>
        <v>Yes</v>
      </c>
    </row>
    <row r="66" customFormat="false" ht="15" hidden="false" customHeight="false" outlineLevel="0" collapsed="false">
      <c r="A66" s="5" t="n">
        <v>2</v>
      </c>
      <c r="B66" s="5" t="n">
        <v>3</v>
      </c>
      <c r="C66" s="6" t="s">
        <v>28</v>
      </c>
      <c r="D66" s="5" t="s">
        <v>40</v>
      </c>
      <c r="E66" s="5" t="s">
        <v>38</v>
      </c>
      <c r="F66" s="5" t="n">
        <v>3</v>
      </c>
      <c r="G66" s="5" t="n">
        <f aca="false">F66-B66</f>
        <v>0</v>
      </c>
      <c r="H66" s="5" t="n">
        <f aca="false">ABS(G66)</f>
        <v>0</v>
      </c>
      <c r="I66" s="5" t="str">
        <f aca="false">IF(G66=0,"Yes","No")</f>
        <v>Yes</v>
      </c>
    </row>
    <row r="67" customFormat="false" ht="15" hidden="false" customHeight="false" outlineLevel="0" collapsed="false">
      <c r="A67" s="5" t="n">
        <v>3</v>
      </c>
      <c r="B67" s="5" t="n">
        <v>5</v>
      </c>
      <c r="C67" s="6" t="s">
        <v>28</v>
      </c>
      <c r="D67" s="5" t="s">
        <v>40</v>
      </c>
      <c r="E67" s="5" t="s">
        <v>38</v>
      </c>
      <c r="F67" s="5" t="n">
        <v>5</v>
      </c>
      <c r="G67" s="5" t="n">
        <f aca="false">F67-B67</f>
        <v>0</v>
      </c>
      <c r="H67" s="5" t="n">
        <f aca="false">ABS(G67)</f>
        <v>0</v>
      </c>
      <c r="I67" s="5" t="str">
        <f aca="false">IF(G67=0,"Yes","No")</f>
        <v>Yes</v>
      </c>
    </row>
    <row r="68" customFormat="false" ht="15" hidden="false" customHeight="false" outlineLevel="0" collapsed="false">
      <c r="A68" s="5" t="n">
        <v>4</v>
      </c>
      <c r="B68" s="5" t="n">
        <v>10</v>
      </c>
      <c r="C68" s="6" t="s">
        <v>28</v>
      </c>
      <c r="D68" s="5" t="s">
        <v>40</v>
      </c>
      <c r="E68" s="5" t="s">
        <v>38</v>
      </c>
      <c r="F68" s="5" t="n">
        <v>10</v>
      </c>
      <c r="G68" s="5" t="n">
        <f aca="false">F68-B68</f>
        <v>0</v>
      </c>
      <c r="H68" s="5" t="n">
        <f aca="false">ABS(G68)</f>
        <v>0</v>
      </c>
      <c r="I68" s="5" t="str">
        <f aca="false">IF(G68=0,"Yes","No")</f>
        <v>Yes</v>
      </c>
    </row>
    <row r="69" customFormat="false" ht="15" hidden="false" customHeight="false" outlineLevel="0" collapsed="false">
      <c r="A69" s="5" t="n">
        <v>5</v>
      </c>
      <c r="B69" s="5" t="n">
        <v>15</v>
      </c>
      <c r="C69" s="6" t="s">
        <v>28</v>
      </c>
      <c r="D69" s="5" t="s">
        <v>40</v>
      </c>
      <c r="E69" s="5" t="s">
        <v>38</v>
      </c>
      <c r="F69" s="5" t="n">
        <v>15</v>
      </c>
      <c r="G69" s="5" t="n">
        <f aca="false">F69-B69</f>
        <v>0</v>
      </c>
      <c r="H69" s="5" t="n">
        <f aca="false">ABS(G69)</f>
        <v>0</v>
      </c>
      <c r="I69" s="5" t="str">
        <f aca="false">IF(G69=0,"Yes","No")</f>
        <v>Yes</v>
      </c>
    </row>
    <row r="70" customFormat="false" ht="15" hidden="false" customHeight="false" outlineLevel="0" collapsed="false">
      <c r="A70" s="5" t="n">
        <v>6</v>
      </c>
      <c r="B70" s="5" t="n">
        <v>7</v>
      </c>
      <c r="C70" s="6" t="s">
        <v>29</v>
      </c>
      <c r="D70" s="5" t="s">
        <v>40</v>
      </c>
      <c r="E70" s="5" t="s">
        <v>38</v>
      </c>
      <c r="F70" s="5" t="n">
        <v>6</v>
      </c>
      <c r="G70" s="5" t="n">
        <f aca="false">F70-B70</f>
        <v>-1</v>
      </c>
      <c r="H70" s="5" t="n">
        <f aca="false">ABS(G70)</f>
        <v>1</v>
      </c>
      <c r="I70" s="5" t="str">
        <f aca="false">IF(G70=0,"Yes","No")</f>
        <v>No</v>
      </c>
    </row>
    <row r="71" customFormat="false" ht="15" hidden="false" customHeight="false" outlineLevel="0" collapsed="false">
      <c r="A71" s="5" t="n">
        <v>7</v>
      </c>
      <c r="B71" s="5" t="n">
        <v>7</v>
      </c>
      <c r="C71" s="6" t="s">
        <v>30</v>
      </c>
      <c r="D71" s="5" t="s">
        <v>40</v>
      </c>
      <c r="E71" s="5" t="s">
        <v>38</v>
      </c>
      <c r="F71" s="5" t="n">
        <v>4</v>
      </c>
      <c r="G71" s="5" t="n">
        <f aca="false">F71-B71</f>
        <v>-3</v>
      </c>
      <c r="H71" s="5" t="n">
        <f aca="false">ABS(G71)</f>
        <v>3</v>
      </c>
      <c r="I71" s="5" t="str">
        <f aca="false">IF(G71=0,"Yes","No")</f>
        <v>No</v>
      </c>
    </row>
    <row r="72" customFormat="false" ht="15" hidden="false" customHeight="false" outlineLevel="0" collapsed="false">
      <c r="A72" s="5" t="n">
        <v>8</v>
      </c>
      <c r="B72" s="5" t="n">
        <v>7</v>
      </c>
      <c r="C72" s="6" t="s">
        <v>31</v>
      </c>
      <c r="D72" s="5" t="s">
        <v>40</v>
      </c>
      <c r="E72" s="5" t="s">
        <v>38</v>
      </c>
      <c r="F72" s="5" t="n">
        <v>3</v>
      </c>
      <c r="G72" s="5" t="n">
        <f aca="false">F72-B72</f>
        <v>-4</v>
      </c>
      <c r="H72" s="5" t="n">
        <f aca="false">ABS(G72)</f>
        <v>4</v>
      </c>
      <c r="I72" s="5" t="str">
        <f aca="false">IF(G72=0,"Yes","No")</f>
        <v>No</v>
      </c>
    </row>
    <row r="73" customFormat="false" ht="15" hidden="false" customHeight="false" outlineLevel="0" collapsed="false">
      <c r="A73" s="5" t="n">
        <v>9</v>
      </c>
      <c r="B73" s="5" t="n">
        <v>7</v>
      </c>
      <c r="C73" s="6" t="s">
        <v>32</v>
      </c>
      <c r="D73" s="5" t="s">
        <v>40</v>
      </c>
      <c r="E73" s="5" t="s">
        <v>38</v>
      </c>
      <c r="F73" s="5" t="n">
        <v>7</v>
      </c>
      <c r="G73" s="5" t="n">
        <f aca="false">F73-B73</f>
        <v>0</v>
      </c>
      <c r="H73" s="5" t="n">
        <f aca="false">ABS(G73)</f>
        <v>0</v>
      </c>
      <c r="I73" s="5" t="str">
        <f aca="false">IF(G73=0,"Yes","No")</f>
        <v>Yes</v>
      </c>
    </row>
    <row r="74" customFormat="false" ht="15" hidden="false" customHeight="false" outlineLevel="0" collapsed="false">
      <c r="A74" s="5" t="n">
        <v>10</v>
      </c>
      <c r="B74" s="5" t="n">
        <v>7</v>
      </c>
      <c r="C74" s="6" t="s">
        <v>32</v>
      </c>
      <c r="D74" s="5" t="s">
        <v>40</v>
      </c>
      <c r="E74" s="5" t="s">
        <v>38</v>
      </c>
      <c r="F74" s="5" t="n">
        <v>7</v>
      </c>
      <c r="G74" s="5" t="n">
        <f aca="false">F74-B74</f>
        <v>0</v>
      </c>
      <c r="H74" s="5" t="n">
        <f aca="false">ABS(G74)</f>
        <v>0</v>
      </c>
      <c r="I74" s="5" t="str">
        <f aca="false">IF(G74=0,"Yes","No")</f>
        <v>Yes</v>
      </c>
    </row>
    <row r="75" customFormat="false" ht="15" hidden="false" customHeight="false" outlineLevel="0" collapsed="false">
      <c r="A75" s="5" t="n">
        <v>11</v>
      </c>
      <c r="B75" s="5" t="n">
        <v>7</v>
      </c>
      <c r="C75" s="6" t="s">
        <v>33</v>
      </c>
      <c r="D75" s="5" t="s">
        <v>40</v>
      </c>
      <c r="E75" s="5" t="s">
        <v>38</v>
      </c>
      <c r="F75" s="5" t="n">
        <v>7</v>
      </c>
      <c r="G75" s="5" t="n">
        <f aca="false">F75-B75</f>
        <v>0</v>
      </c>
      <c r="H75" s="5" t="n">
        <f aca="false">ABS(G75)</f>
        <v>0</v>
      </c>
      <c r="I75" s="5" t="str">
        <f aca="false">IF(G75=0,"Yes","No")</f>
        <v>Yes</v>
      </c>
    </row>
    <row r="76" customFormat="false" ht="15" hidden="false" customHeight="false" outlineLevel="0" collapsed="false">
      <c r="A76" s="5" t="n">
        <v>12</v>
      </c>
      <c r="B76" s="5" t="n">
        <v>7</v>
      </c>
      <c r="C76" s="6" t="s">
        <v>34</v>
      </c>
      <c r="D76" s="5" t="s">
        <v>40</v>
      </c>
      <c r="E76" s="5" t="s">
        <v>38</v>
      </c>
      <c r="F76" s="5" t="n">
        <v>7</v>
      </c>
      <c r="G76" s="5" t="n">
        <f aca="false">F76-B76</f>
        <v>0</v>
      </c>
      <c r="H76" s="5" t="n">
        <f aca="false">ABS(G76)</f>
        <v>0</v>
      </c>
      <c r="I76" s="5" t="str">
        <f aca="false">IF(G76=0,"Yes","No")</f>
        <v>Yes</v>
      </c>
    </row>
    <row r="77" customFormat="false" ht="15" hidden="false" customHeight="false" outlineLevel="0" collapsed="false">
      <c r="A77" s="5" t="n">
        <v>13</v>
      </c>
      <c r="B77" s="5" t="n">
        <v>7</v>
      </c>
      <c r="C77" s="6" t="s">
        <v>35</v>
      </c>
      <c r="D77" s="5" t="s">
        <v>40</v>
      </c>
      <c r="E77" s="5" t="s">
        <v>38</v>
      </c>
      <c r="F77" s="5" t="n">
        <v>7</v>
      </c>
      <c r="G77" s="5" t="n">
        <f aca="false">F77-B77</f>
        <v>0</v>
      </c>
      <c r="H77" s="5" t="n">
        <f aca="false">ABS(G77)</f>
        <v>0</v>
      </c>
      <c r="I77" s="5" t="str">
        <f aca="false">IF(G77=0,"Yes","No")</f>
        <v>Yes</v>
      </c>
    </row>
    <row r="78" customFormat="false" ht="15" hidden="false" customHeight="false" outlineLevel="0" collapsed="false">
      <c r="A78" s="5" t="n">
        <v>14</v>
      </c>
      <c r="B78" s="5" t="n">
        <v>7</v>
      </c>
      <c r="C78" s="6" t="s">
        <v>36</v>
      </c>
      <c r="D78" s="5" t="s">
        <v>40</v>
      </c>
      <c r="E78" s="5" t="s">
        <v>38</v>
      </c>
      <c r="F78" s="5" t="n">
        <v>7</v>
      </c>
      <c r="G78" s="5" t="n">
        <f aca="false">F78-B78</f>
        <v>0</v>
      </c>
      <c r="H78" s="5" t="n">
        <f aca="false">ABS(G78)</f>
        <v>0</v>
      </c>
      <c r="I78" s="5" t="str">
        <f aca="false">IF(G78=0,"Yes","No")</f>
        <v>Yes</v>
      </c>
    </row>
    <row r="79" customFormat="false" ht="15" hidden="false" customHeight="false" outlineLevel="0" collapsed="false">
      <c r="A79" s="5" t="n">
        <v>15</v>
      </c>
      <c r="B79" s="5" t="n">
        <v>7</v>
      </c>
      <c r="C79" s="6" t="s">
        <v>37</v>
      </c>
      <c r="D79" s="5" t="s">
        <v>40</v>
      </c>
      <c r="E79" s="5" t="s">
        <v>38</v>
      </c>
      <c r="F79" s="5" t="n">
        <v>6</v>
      </c>
      <c r="G79" s="5" t="n">
        <f aca="false">F79-B79</f>
        <v>-1</v>
      </c>
      <c r="H79" s="5" t="n">
        <f aca="false">ABS(G79)</f>
        <v>1</v>
      </c>
      <c r="I79" s="5" t="str">
        <f aca="false">IF(G79=0,"Yes","No")</f>
        <v>No</v>
      </c>
    </row>
    <row r="80" customFormat="false" ht="15" hidden="false" customHeight="false" outlineLevel="0" collapsed="false">
      <c r="A80" s="5" t="n">
        <v>1</v>
      </c>
      <c r="B80" s="5" t="n">
        <v>7</v>
      </c>
      <c r="C80" s="6" t="s">
        <v>25</v>
      </c>
      <c r="D80" s="5" t="s">
        <v>40</v>
      </c>
      <c r="E80" s="5" t="s">
        <v>39</v>
      </c>
      <c r="F80" s="5" t="n">
        <v>7</v>
      </c>
      <c r="G80" s="5" t="n">
        <f aca="false">F80-B80</f>
        <v>0</v>
      </c>
      <c r="H80" s="5" t="n">
        <f aca="false">ABS(G80)</f>
        <v>0</v>
      </c>
      <c r="I80" s="5" t="str">
        <f aca="false">IF(G80=0,"Yes","No")</f>
        <v>Yes</v>
      </c>
    </row>
    <row r="81" customFormat="false" ht="15" hidden="false" customHeight="false" outlineLevel="0" collapsed="false">
      <c r="A81" s="5" t="n">
        <v>2</v>
      </c>
      <c r="B81" s="5" t="n">
        <v>3</v>
      </c>
      <c r="C81" s="6" t="s">
        <v>28</v>
      </c>
      <c r="D81" s="5" t="s">
        <v>40</v>
      </c>
      <c r="E81" s="5" t="s">
        <v>39</v>
      </c>
      <c r="F81" s="5" t="n">
        <v>3</v>
      </c>
      <c r="G81" s="5" t="n">
        <f aca="false">F81-B81</f>
        <v>0</v>
      </c>
      <c r="H81" s="5" t="n">
        <f aca="false">ABS(G81)</f>
        <v>0</v>
      </c>
      <c r="I81" s="5" t="str">
        <f aca="false">IF(G81=0,"Yes","No")</f>
        <v>Yes</v>
      </c>
    </row>
    <row r="82" customFormat="false" ht="15" hidden="false" customHeight="false" outlineLevel="0" collapsed="false">
      <c r="A82" s="5" t="n">
        <v>3</v>
      </c>
      <c r="B82" s="5" t="n">
        <v>5</v>
      </c>
      <c r="C82" s="6" t="s">
        <v>28</v>
      </c>
      <c r="D82" s="5" t="s">
        <v>40</v>
      </c>
      <c r="E82" s="5" t="s">
        <v>39</v>
      </c>
      <c r="F82" s="5" t="n">
        <v>5</v>
      </c>
      <c r="G82" s="5" t="n">
        <f aca="false">F82-B82</f>
        <v>0</v>
      </c>
      <c r="H82" s="5" t="n">
        <f aca="false">ABS(G82)</f>
        <v>0</v>
      </c>
      <c r="I82" s="5" t="str">
        <f aca="false">IF(G82=0,"Yes","No")</f>
        <v>Yes</v>
      </c>
    </row>
    <row r="83" customFormat="false" ht="15" hidden="false" customHeight="false" outlineLevel="0" collapsed="false">
      <c r="A83" s="5" t="n">
        <v>4</v>
      </c>
      <c r="B83" s="5" t="n">
        <v>10</v>
      </c>
      <c r="C83" s="6" t="s">
        <v>28</v>
      </c>
      <c r="D83" s="5" t="s">
        <v>40</v>
      </c>
      <c r="E83" s="5" t="s">
        <v>39</v>
      </c>
      <c r="F83" s="5" t="n">
        <v>10</v>
      </c>
      <c r="G83" s="5" t="n">
        <f aca="false">F83-B83</f>
        <v>0</v>
      </c>
      <c r="H83" s="5" t="n">
        <f aca="false">ABS(G83)</f>
        <v>0</v>
      </c>
      <c r="I83" s="5" t="str">
        <f aca="false">IF(G83=0,"Yes","No")</f>
        <v>Yes</v>
      </c>
    </row>
    <row r="84" customFormat="false" ht="15" hidden="false" customHeight="false" outlineLevel="0" collapsed="false">
      <c r="A84" s="5" t="n">
        <v>5</v>
      </c>
      <c r="B84" s="5" t="n">
        <v>15</v>
      </c>
      <c r="C84" s="6" t="s">
        <v>28</v>
      </c>
      <c r="D84" s="5" t="s">
        <v>40</v>
      </c>
      <c r="E84" s="5" t="s">
        <v>39</v>
      </c>
      <c r="F84" s="5" t="n">
        <v>15</v>
      </c>
      <c r="G84" s="5" t="n">
        <f aca="false">F84-B84</f>
        <v>0</v>
      </c>
      <c r="H84" s="5" t="n">
        <f aca="false">ABS(G84)</f>
        <v>0</v>
      </c>
      <c r="I84" s="5" t="str">
        <f aca="false">IF(G84=0,"Yes","No")</f>
        <v>Yes</v>
      </c>
    </row>
    <row r="85" customFormat="false" ht="15" hidden="false" customHeight="false" outlineLevel="0" collapsed="false">
      <c r="A85" s="5" t="n">
        <v>6</v>
      </c>
      <c r="B85" s="5" t="n">
        <v>7</v>
      </c>
      <c r="C85" s="6" t="s">
        <v>29</v>
      </c>
      <c r="D85" s="5" t="s">
        <v>40</v>
      </c>
      <c r="E85" s="5" t="s">
        <v>39</v>
      </c>
      <c r="F85" s="5" t="n">
        <v>7</v>
      </c>
      <c r="G85" s="5" t="n">
        <f aca="false">F85-B85</f>
        <v>0</v>
      </c>
      <c r="H85" s="5" t="n">
        <f aca="false">ABS(G85)</f>
        <v>0</v>
      </c>
      <c r="I85" s="5" t="str">
        <f aca="false">IF(G85=0,"Yes","No")</f>
        <v>Yes</v>
      </c>
    </row>
    <row r="86" customFormat="false" ht="15" hidden="false" customHeight="false" outlineLevel="0" collapsed="false">
      <c r="A86" s="5" t="n">
        <v>7</v>
      </c>
      <c r="B86" s="5" t="n">
        <v>7</v>
      </c>
      <c r="C86" s="6" t="s">
        <v>30</v>
      </c>
      <c r="D86" s="5" t="s">
        <v>40</v>
      </c>
      <c r="E86" s="5" t="s">
        <v>39</v>
      </c>
      <c r="F86" s="5" t="n">
        <v>7</v>
      </c>
      <c r="G86" s="5" t="n">
        <f aca="false">F86-B86</f>
        <v>0</v>
      </c>
      <c r="H86" s="5" t="n">
        <f aca="false">ABS(G86)</f>
        <v>0</v>
      </c>
      <c r="I86" s="5" t="str">
        <f aca="false">IF(G86=0,"Yes","No")</f>
        <v>Yes</v>
      </c>
    </row>
    <row r="87" customFormat="false" ht="15" hidden="false" customHeight="false" outlineLevel="0" collapsed="false">
      <c r="A87" s="5" t="n">
        <v>8</v>
      </c>
      <c r="B87" s="5" t="n">
        <v>7</v>
      </c>
      <c r="C87" s="6" t="s">
        <v>31</v>
      </c>
      <c r="D87" s="5" t="s">
        <v>40</v>
      </c>
      <c r="E87" s="5" t="s">
        <v>39</v>
      </c>
      <c r="F87" s="5" t="n">
        <v>7</v>
      </c>
      <c r="G87" s="5" t="n">
        <f aca="false">F87-B87</f>
        <v>0</v>
      </c>
      <c r="H87" s="5" t="n">
        <f aca="false">ABS(G87)</f>
        <v>0</v>
      </c>
      <c r="I87" s="5" t="str">
        <f aca="false">IF(G87=0,"Yes","No")</f>
        <v>Yes</v>
      </c>
    </row>
    <row r="88" customFormat="false" ht="15" hidden="false" customHeight="false" outlineLevel="0" collapsed="false">
      <c r="A88" s="5" t="n">
        <v>9</v>
      </c>
      <c r="B88" s="5" t="n">
        <v>7</v>
      </c>
      <c r="C88" s="6" t="s">
        <v>32</v>
      </c>
      <c r="D88" s="5" t="s">
        <v>40</v>
      </c>
      <c r="E88" s="5" t="s">
        <v>39</v>
      </c>
      <c r="F88" s="5" t="n">
        <v>7</v>
      </c>
      <c r="G88" s="5" t="n">
        <f aca="false">F88-B88</f>
        <v>0</v>
      </c>
      <c r="H88" s="5" t="n">
        <f aca="false">ABS(G88)</f>
        <v>0</v>
      </c>
      <c r="I88" s="5" t="str">
        <f aca="false">IF(G88=0,"Yes","No")</f>
        <v>Yes</v>
      </c>
    </row>
    <row r="89" customFormat="false" ht="15" hidden="false" customHeight="false" outlineLevel="0" collapsed="false">
      <c r="A89" s="5" t="n">
        <v>10</v>
      </c>
      <c r="B89" s="5" t="n">
        <v>7</v>
      </c>
      <c r="C89" s="6" t="s">
        <v>32</v>
      </c>
      <c r="D89" s="5" t="s">
        <v>40</v>
      </c>
      <c r="E89" s="5" t="s">
        <v>39</v>
      </c>
      <c r="F89" s="5" t="n">
        <v>7</v>
      </c>
      <c r="G89" s="5" t="n">
        <f aca="false">F89-B89</f>
        <v>0</v>
      </c>
      <c r="H89" s="5" t="n">
        <f aca="false">ABS(G89)</f>
        <v>0</v>
      </c>
      <c r="I89" s="5" t="str">
        <f aca="false">IF(G89=0,"Yes","No")</f>
        <v>Yes</v>
      </c>
    </row>
    <row r="90" customFormat="false" ht="15" hidden="false" customHeight="false" outlineLevel="0" collapsed="false">
      <c r="A90" s="5" t="n">
        <v>11</v>
      </c>
      <c r="B90" s="5" t="n">
        <v>7</v>
      </c>
      <c r="C90" s="6" t="s">
        <v>33</v>
      </c>
      <c r="D90" s="5" t="s">
        <v>40</v>
      </c>
      <c r="E90" s="5" t="s">
        <v>39</v>
      </c>
      <c r="F90" s="5" t="n">
        <v>7</v>
      </c>
      <c r="G90" s="5" t="n">
        <f aca="false">F90-B90</f>
        <v>0</v>
      </c>
      <c r="H90" s="5" t="n">
        <f aca="false">ABS(G90)</f>
        <v>0</v>
      </c>
      <c r="I90" s="5" t="str">
        <f aca="false">IF(G90=0,"Yes","No")</f>
        <v>Yes</v>
      </c>
    </row>
    <row r="91" customFormat="false" ht="15" hidden="false" customHeight="false" outlineLevel="0" collapsed="false">
      <c r="A91" s="5" t="n">
        <v>12</v>
      </c>
      <c r="B91" s="5" t="n">
        <v>7</v>
      </c>
      <c r="C91" s="6" t="s">
        <v>34</v>
      </c>
      <c r="D91" s="5" t="s">
        <v>40</v>
      </c>
      <c r="E91" s="5" t="s">
        <v>39</v>
      </c>
      <c r="F91" s="5" t="n">
        <v>7</v>
      </c>
      <c r="G91" s="5" t="n">
        <f aca="false">F91-B91</f>
        <v>0</v>
      </c>
      <c r="H91" s="5" t="n">
        <f aca="false">ABS(G91)</f>
        <v>0</v>
      </c>
      <c r="I91" s="5" t="str">
        <f aca="false">IF(G91=0,"Yes","No")</f>
        <v>Yes</v>
      </c>
    </row>
    <row r="92" customFormat="false" ht="15" hidden="false" customHeight="false" outlineLevel="0" collapsed="false">
      <c r="A92" s="5" t="n">
        <v>13</v>
      </c>
      <c r="B92" s="5" t="n">
        <v>7</v>
      </c>
      <c r="C92" s="6" t="s">
        <v>35</v>
      </c>
      <c r="D92" s="5" t="s">
        <v>40</v>
      </c>
      <c r="E92" s="5" t="s">
        <v>39</v>
      </c>
      <c r="F92" s="5" t="n">
        <v>7</v>
      </c>
      <c r="G92" s="5" t="n">
        <f aca="false">F92-B92</f>
        <v>0</v>
      </c>
      <c r="H92" s="5" t="n">
        <f aca="false">ABS(G92)</f>
        <v>0</v>
      </c>
      <c r="I92" s="5" t="str">
        <f aca="false">IF(G92=0,"Yes","No")</f>
        <v>Yes</v>
      </c>
    </row>
    <row r="93" customFormat="false" ht="15" hidden="false" customHeight="false" outlineLevel="0" collapsed="false">
      <c r="A93" s="5" t="n">
        <v>14</v>
      </c>
      <c r="B93" s="5" t="n">
        <v>7</v>
      </c>
      <c r="C93" s="6" t="s">
        <v>36</v>
      </c>
      <c r="D93" s="5" t="s">
        <v>40</v>
      </c>
      <c r="E93" s="5" t="s">
        <v>39</v>
      </c>
      <c r="F93" s="5" t="n">
        <v>7</v>
      </c>
      <c r="G93" s="5" t="n">
        <f aca="false">F93-B93</f>
        <v>0</v>
      </c>
      <c r="H93" s="5" t="n">
        <f aca="false">ABS(G93)</f>
        <v>0</v>
      </c>
      <c r="I93" s="5" t="str">
        <f aca="false">IF(G93=0,"Yes","No")</f>
        <v>Yes</v>
      </c>
    </row>
    <row r="94" customFormat="false" ht="15" hidden="false" customHeight="false" outlineLevel="0" collapsed="false">
      <c r="A94" s="5" t="n">
        <v>15</v>
      </c>
      <c r="B94" s="5" t="n">
        <v>7</v>
      </c>
      <c r="C94" s="6" t="s">
        <v>37</v>
      </c>
      <c r="D94" s="5" t="s">
        <v>40</v>
      </c>
      <c r="E94" s="5" t="s">
        <v>39</v>
      </c>
      <c r="F94" s="5" t="n">
        <v>7</v>
      </c>
      <c r="G94" s="5" t="n">
        <f aca="false">F94-B94</f>
        <v>0</v>
      </c>
      <c r="H94" s="5" t="n">
        <f aca="false">ABS(G94)</f>
        <v>0</v>
      </c>
      <c r="I94" s="5" t="str">
        <f aca="false">IF(G94=0,"Yes","No")</f>
        <v>Yes</v>
      </c>
    </row>
    <row r="95" customFormat="false" ht="15" hidden="false" customHeight="false" outlineLevel="0" collapsed="false">
      <c r="A95" s="7" t="n">
        <v>1</v>
      </c>
      <c r="B95" s="7" t="n">
        <v>7</v>
      </c>
      <c r="C95" s="8" t="s">
        <v>25</v>
      </c>
      <c r="D95" s="7" t="s">
        <v>41</v>
      </c>
      <c r="E95" s="7" t="s">
        <v>27</v>
      </c>
      <c r="F95" s="7" t="n">
        <v>7</v>
      </c>
      <c r="G95" s="7" t="n">
        <f aca="false">F95-B95</f>
        <v>0</v>
      </c>
      <c r="H95" s="7" t="n">
        <f aca="false">ABS(G95)</f>
        <v>0</v>
      </c>
      <c r="I95" s="7" t="str">
        <f aca="false">IF(G95=0,"Yes","No")</f>
        <v>Yes</v>
      </c>
    </row>
    <row r="96" customFormat="false" ht="15" hidden="false" customHeight="false" outlineLevel="0" collapsed="false">
      <c r="A96" s="7" t="n">
        <v>2</v>
      </c>
      <c r="B96" s="7" t="n">
        <v>3</v>
      </c>
      <c r="C96" s="8" t="s">
        <v>28</v>
      </c>
      <c r="D96" s="7" t="s">
        <v>41</v>
      </c>
      <c r="E96" s="7" t="s">
        <v>27</v>
      </c>
      <c r="F96" s="7" t="n">
        <v>3</v>
      </c>
      <c r="G96" s="7" t="n">
        <f aca="false">F96-B96</f>
        <v>0</v>
      </c>
      <c r="H96" s="7" t="n">
        <f aca="false">ABS(G96)</f>
        <v>0</v>
      </c>
      <c r="I96" s="7" t="str">
        <f aca="false">IF(G96=0,"Yes","No")</f>
        <v>Yes</v>
      </c>
    </row>
    <row r="97" customFormat="false" ht="15" hidden="false" customHeight="false" outlineLevel="0" collapsed="false">
      <c r="A97" s="7" t="n">
        <v>3</v>
      </c>
      <c r="B97" s="7" t="n">
        <v>5</v>
      </c>
      <c r="C97" s="8" t="s">
        <v>28</v>
      </c>
      <c r="D97" s="7" t="s">
        <v>41</v>
      </c>
      <c r="E97" s="7" t="s">
        <v>27</v>
      </c>
      <c r="F97" s="7" t="n">
        <v>5</v>
      </c>
      <c r="G97" s="7" t="n">
        <f aca="false">F97-B97</f>
        <v>0</v>
      </c>
      <c r="H97" s="7" t="n">
        <f aca="false">ABS(G97)</f>
        <v>0</v>
      </c>
      <c r="I97" s="7" t="str">
        <f aca="false">IF(G97=0,"Yes","No")</f>
        <v>Yes</v>
      </c>
    </row>
    <row r="98" customFormat="false" ht="15" hidden="false" customHeight="false" outlineLevel="0" collapsed="false">
      <c r="A98" s="7" t="n">
        <v>4</v>
      </c>
      <c r="B98" s="7" t="n">
        <v>10</v>
      </c>
      <c r="C98" s="8" t="s">
        <v>28</v>
      </c>
      <c r="D98" s="7" t="s">
        <v>41</v>
      </c>
      <c r="E98" s="7" t="s">
        <v>27</v>
      </c>
      <c r="F98" s="7" t="n">
        <v>10</v>
      </c>
      <c r="G98" s="7" t="n">
        <f aca="false">F98-B98</f>
        <v>0</v>
      </c>
      <c r="H98" s="7" t="n">
        <f aca="false">ABS(G98)</f>
        <v>0</v>
      </c>
      <c r="I98" s="7" t="str">
        <f aca="false">IF(G98=0,"Yes","No")</f>
        <v>Yes</v>
      </c>
    </row>
    <row r="99" customFormat="false" ht="15" hidden="false" customHeight="false" outlineLevel="0" collapsed="false">
      <c r="A99" s="7" t="n">
        <v>5</v>
      </c>
      <c r="B99" s="7" t="n">
        <v>15</v>
      </c>
      <c r="C99" s="8" t="s">
        <v>28</v>
      </c>
      <c r="D99" s="7" t="s">
        <v>41</v>
      </c>
      <c r="E99" s="7" t="s">
        <v>27</v>
      </c>
      <c r="F99" s="7" t="n">
        <v>13</v>
      </c>
      <c r="G99" s="7" t="n">
        <f aca="false">F99-B99</f>
        <v>-2</v>
      </c>
      <c r="H99" s="7" t="n">
        <f aca="false">ABS(G99)</f>
        <v>2</v>
      </c>
      <c r="I99" s="7" t="str">
        <f aca="false">IF(G99=0,"Yes","No")</f>
        <v>No</v>
      </c>
    </row>
    <row r="100" customFormat="false" ht="15" hidden="false" customHeight="false" outlineLevel="0" collapsed="false">
      <c r="A100" s="7" t="n">
        <v>6</v>
      </c>
      <c r="B100" s="7" t="n">
        <v>7</v>
      </c>
      <c r="C100" s="8" t="s">
        <v>29</v>
      </c>
      <c r="D100" s="7" t="s">
        <v>41</v>
      </c>
      <c r="E100" s="7" t="s">
        <v>27</v>
      </c>
      <c r="F100" s="7" t="n">
        <v>7</v>
      </c>
      <c r="G100" s="7" t="n">
        <f aca="false">F100-B100</f>
        <v>0</v>
      </c>
      <c r="H100" s="7" t="n">
        <f aca="false">ABS(G100)</f>
        <v>0</v>
      </c>
      <c r="I100" s="7" t="str">
        <f aca="false">IF(G100=0,"Yes","No")</f>
        <v>Yes</v>
      </c>
    </row>
    <row r="101" customFormat="false" ht="15" hidden="false" customHeight="false" outlineLevel="0" collapsed="false">
      <c r="A101" s="7" t="n">
        <v>7</v>
      </c>
      <c r="B101" s="7" t="n">
        <v>7</v>
      </c>
      <c r="C101" s="8" t="s">
        <v>30</v>
      </c>
      <c r="D101" s="7" t="s">
        <v>41</v>
      </c>
      <c r="E101" s="7" t="s">
        <v>27</v>
      </c>
      <c r="F101" s="7" t="n">
        <v>6</v>
      </c>
      <c r="G101" s="7" t="n">
        <f aca="false">F101-B101</f>
        <v>-1</v>
      </c>
      <c r="H101" s="7" t="n">
        <f aca="false">ABS(G101)</f>
        <v>1</v>
      </c>
      <c r="I101" s="7" t="str">
        <f aca="false">IF(G101=0,"Yes","No")</f>
        <v>No</v>
      </c>
    </row>
    <row r="102" customFormat="false" ht="15" hidden="false" customHeight="false" outlineLevel="0" collapsed="false">
      <c r="A102" s="7" t="n">
        <v>8</v>
      </c>
      <c r="B102" s="7" t="n">
        <v>7</v>
      </c>
      <c r="C102" s="8" t="s">
        <v>31</v>
      </c>
      <c r="D102" s="7" t="s">
        <v>41</v>
      </c>
      <c r="E102" s="7" t="s">
        <v>27</v>
      </c>
      <c r="F102" s="7" t="n">
        <v>6</v>
      </c>
      <c r="G102" s="7" t="n">
        <f aca="false">F102-B102</f>
        <v>-1</v>
      </c>
      <c r="H102" s="7" t="n">
        <f aca="false">ABS(G102)</f>
        <v>1</v>
      </c>
      <c r="I102" s="7" t="str">
        <f aca="false">IF(G102=0,"Yes","No")</f>
        <v>No</v>
      </c>
    </row>
    <row r="103" customFormat="false" ht="15" hidden="false" customHeight="false" outlineLevel="0" collapsed="false">
      <c r="A103" s="7" t="n">
        <v>9</v>
      </c>
      <c r="B103" s="7" t="n">
        <v>7</v>
      </c>
      <c r="C103" s="8" t="s">
        <v>32</v>
      </c>
      <c r="D103" s="7" t="s">
        <v>41</v>
      </c>
      <c r="E103" s="7" t="s">
        <v>27</v>
      </c>
      <c r="F103" s="7" t="n">
        <v>7</v>
      </c>
      <c r="G103" s="7" t="n">
        <f aca="false">F103-B103</f>
        <v>0</v>
      </c>
      <c r="H103" s="7" t="n">
        <f aca="false">ABS(G103)</f>
        <v>0</v>
      </c>
      <c r="I103" s="7" t="str">
        <f aca="false">IF(G103=0,"Yes","No")</f>
        <v>Yes</v>
      </c>
    </row>
    <row r="104" customFormat="false" ht="15" hidden="false" customHeight="false" outlineLevel="0" collapsed="false">
      <c r="A104" s="7" t="n">
        <v>10</v>
      </c>
      <c r="B104" s="7" t="n">
        <v>7</v>
      </c>
      <c r="C104" s="8" t="s">
        <v>32</v>
      </c>
      <c r="D104" s="7" t="s">
        <v>41</v>
      </c>
      <c r="E104" s="7" t="s">
        <v>27</v>
      </c>
      <c r="F104" s="7" t="n">
        <v>7</v>
      </c>
      <c r="G104" s="7" t="n">
        <f aca="false">F104-B104</f>
        <v>0</v>
      </c>
      <c r="H104" s="7" t="n">
        <f aca="false">ABS(G104)</f>
        <v>0</v>
      </c>
      <c r="I104" s="7" t="str">
        <f aca="false">IF(G104=0,"Yes","No")</f>
        <v>Yes</v>
      </c>
    </row>
    <row r="105" customFormat="false" ht="15" hidden="false" customHeight="false" outlineLevel="0" collapsed="false">
      <c r="A105" s="7" t="n">
        <v>11</v>
      </c>
      <c r="B105" s="7" t="n">
        <v>7</v>
      </c>
      <c r="C105" s="8" t="s">
        <v>33</v>
      </c>
      <c r="D105" s="7" t="s">
        <v>41</v>
      </c>
      <c r="E105" s="7" t="s">
        <v>27</v>
      </c>
      <c r="F105" s="7" t="n">
        <v>7</v>
      </c>
      <c r="G105" s="7" t="n">
        <f aca="false">F105-B105</f>
        <v>0</v>
      </c>
      <c r="H105" s="7" t="n">
        <f aca="false">ABS(G105)</f>
        <v>0</v>
      </c>
      <c r="I105" s="7" t="str">
        <f aca="false">IF(G105=0,"Yes","No")</f>
        <v>Yes</v>
      </c>
    </row>
    <row r="106" customFormat="false" ht="15" hidden="false" customHeight="false" outlineLevel="0" collapsed="false">
      <c r="A106" s="7" t="n">
        <v>12</v>
      </c>
      <c r="B106" s="7" t="n">
        <v>7</v>
      </c>
      <c r="C106" s="8" t="s">
        <v>34</v>
      </c>
      <c r="D106" s="7" t="s">
        <v>41</v>
      </c>
      <c r="E106" s="7" t="s">
        <v>27</v>
      </c>
      <c r="F106" s="7" t="n">
        <v>7</v>
      </c>
      <c r="G106" s="7" t="n">
        <f aca="false">F106-B106</f>
        <v>0</v>
      </c>
      <c r="H106" s="7" t="n">
        <f aca="false">ABS(G106)</f>
        <v>0</v>
      </c>
      <c r="I106" s="7" t="str">
        <f aca="false">IF(G106=0,"Yes","No")</f>
        <v>Yes</v>
      </c>
    </row>
    <row r="107" customFormat="false" ht="15" hidden="false" customHeight="false" outlineLevel="0" collapsed="false">
      <c r="A107" s="7" t="n">
        <v>13</v>
      </c>
      <c r="B107" s="7" t="n">
        <v>7</v>
      </c>
      <c r="C107" s="8" t="s">
        <v>35</v>
      </c>
      <c r="D107" s="7" t="s">
        <v>41</v>
      </c>
      <c r="E107" s="7" t="s">
        <v>27</v>
      </c>
      <c r="F107" s="7" t="n">
        <v>8</v>
      </c>
      <c r="G107" s="7" t="n">
        <f aca="false">F107-B107</f>
        <v>1</v>
      </c>
      <c r="H107" s="7" t="n">
        <f aca="false">ABS(G107)</f>
        <v>1</v>
      </c>
      <c r="I107" s="7" t="str">
        <f aca="false">IF(G107=0,"Yes","No")</f>
        <v>No</v>
      </c>
    </row>
    <row r="108" customFormat="false" ht="15" hidden="false" customHeight="false" outlineLevel="0" collapsed="false">
      <c r="A108" s="7" t="n">
        <v>14</v>
      </c>
      <c r="B108" s="7" t="n">
        <v>7</v>
      </c>
      <c r="C108" s="8" t="s">
        <v>36</v>
      </c>
      <c r="D108" s="7" t="s">
        <v>41</v>
      </c>
      <c r="E108" s="7" t="s">
        <v>27</v>
      </c>
      <c r="F108" s="7" t="n">
        <v>7</v>
      </c>
      <c r="G108" s="7" t="n">
        <f aca="false">F108-B108</f>
        <v>0</v>
      </c>
      <c r="H108" s="7" t="n">
        <f aca="false">ABS(G108)</f>
        <v>0</v>
      </c>
      <c r="I108" s="7" t="str">
        <f aca="false">IF(G108=0,"Yes","No")</f>
        <v>Yes</v>
      </c>
    </row>
    <row r="109" customFormat="false" ht="15" hidden="false" customHeight="false" outlineLevel="0" collapsed="false">
      <c r="A109" s="7" t="n">
        <v>15</v>
      </c>
      <c r="B109" s="7" t="n">
        <v>7</v>
      </c>
      <c r="C109" s="8" t="s">
        <v>37</v>
      </c>
      <c r="D109" s="7" t="s">
        <v>41</v>
      </c>
      <c r="E109" s="7" t="s">
        <v>27</v>
      </c>
      <c r="F109" s="7" t="n">
        <v>7</v>
      </c>
      <c r="G109" s="7" t="n">
        <f aca="false">F109-B109</f>
        <v>0</v>
      </c>
      <c r="H109" s="7" t="n">
        <f aca="false">ABS(G109)</f>
        <v>0</v>
      </c>
      <c r="I109" s="7" t="str">
        <f aca="false">IF(G109=0,"Yes","No")</f>
        <v>Yes</v>
      </c>
    </row>
    <row r="110" customFormat="false" ht="15" hidden="false" customHeight="false" outlineLevel="0" collapsed="false">
      <c r="A110" s="7" t="n">
        <v>1</v>
      </c>
      <c r="B110" s="7" t="n">
        <v>7</v>
      </c>
      <c r="C110" s="8" t="s">
        <v>25</v>
      </c>
      <c r="D110" s="7" t="s">
        <v>41</v>
      </c>
      <c r="E110" s="7" t="s">
        <v>38</v>
      </c>
      <c r="F110" s="7" t="n">
        <v>7</v>
      </c>
      <c r="G110" s="7" t="n">
        <f aca="false">F110-B110</f>
        <v>0</v>
      </c>
      <c r="H110" s="7" t="n">
        <f aca="false">ABS(G110)</f>
        <v>0</v>
      </c>
      <c r="I110" s="7" t="str">
        <f aca="false">IF(G110=0,"Yes","No")</f>
        <v>Yes</v>
      </c>
    </row>
    <row r="111" customFormat="false" ht="15" hidden="false" customHeight="false" outlineLevel="0" collapsed="false">
      <c r="A111" s="7" t="n">
        <v>2</v>
      </c>
      <c r="B111" s="7" t="n">
        <v>3</v>
      </c>
      <c r="C111" s="8" t="s">
        <v>28</v>
      </c>
      <c r="D111" s="7" t="s">
        <v>41</v>
      </c>
      <c r="E111" s="7" t="s">
        <v>38</v>
      </c>
      <c r="F111" s="7" t="n">
        <v>3</v>
      </c>
      <c r="G111" s="7" t="n">
        <f aca="false">F111-B111</f>
        <v>0</v>
      </c>
      <c r="H111" s="7" t="n">
        <f aca="false">ABS(G111)</f>
        <v>0</v>
      </c>
      <c r="I111" s="7" t="str">
        <f aca="false">IF(G111=0,"Yes","No")</f>
        <v>Yes</v>
      </c>
    </row>
    <row r="112" customFormat="false" ht="15" hidden="false" customHeight="false" outlineLevel="0" collapsed="false">
      <c r="A112" s="7" t="n">
        <v>3</v>
      </c>
      <c r="B112" s="7" t="n">
        <v>5</v>
      </c>
      <c r="C112" s="8" t="s">
        <v>28</v>
      </c>
      <c r="D112" s="7" t="s">
        <v>41</v>
      </c>
      <c r="E112" s="7" t="s">
        <v>38</v>
      </c>
      <c r="F112" s="7" t="n">
        <v>5</v>
      </c>
      <c r="G112" s="7" t="n">
        <f aca="false">F112-B112</f>
        <v>0</v>
      </c>
      <c r="H112" s="7" t="n">
        <f aca="false">ABS(G112)</f>
        <v>0</v>
      </c>
      <c r="I112" s="7" t="str">
        <f aca="false">IF(G112=0,"Yes","No")</f>
        <v>Yes</v>
      </c>
    </row>
    <row r="113" customFormat="false" ht="15" hidden="false" customHeight="false" outlineLevel="0" collapsed="false">
      <c r="A113" s="7" t="n">
        <v>4</v>
      </c>
      <c r="B113" s="7" t="n">
        <v>10</v>
      </c>
      <c r="C113" s="8" t="s">
        <v>28</v>
      </c>
      <c r="D113" s="7" t="s">
        <v>41</v>
      </c>
      <c r="E113" s="7" t="s">
        <v>38</v>
      </c>
      <c r="F113" s="7" t="n">
        <v>10</v>
      </c>
      <c r="G113" s="7" t="n">
        <f aca="false">F113-B113</f>
        <v>0</v>
      </c>
      <c r="H113" s="7" t="n">
        <f aca="false">ABS(G113)</f>
        <v>0</v>
      </c>
      <c r="I113" s="7" t="str">
        <f aca="false">IF(G113=0,"Yes","No")</f>
        <v>Yes</v>
      </c>
    </row>
    <row r="114" customFormat="false" ht="15" hidden="false" customHeight="false" outlineLevel="0" collapsed="false">
      <c r="A114" s="7" t="n">
        <v>5</v>
      </c>
      <c r="B114" s="7" t="n">
        <v>15</v>
      </c>
      <c r="C114" s="8" t="s">
        <v>28</v>
      </c>
      <c r="D114" s="7" t="s">
        <v>41</v>
      </c>
      <c r="E114" s="7" t="s">
        <v>38</v>
      </c>
      <c r="F114" s="7" t="n">
        <v>15</v>
      </c>
      <c r="G114" s="7" t="n">
        <f aca="false">F114-B114</f>
        <v>0</v>
      </c>
      <c r="H114" s="7" t="n">
        <f aca="false">ABS(G114)</f>
        <v>0</v>
      </c>
      <c r="I114" s="7" t="str">
        <f aca="false">IF(G114=0,"Yes","No")</f>
        <v>Yes</v>
      </c>
    </row>
    <row r="115" customFormat="false" ht="15" hidden="false" customHeight="false" outlineLevel="0" collapsed="false">
      <c r="A115" s="7" t="n">
        <v>6</v>
      </c>
      <c r="B115" s="7" t="n">
        <v>7</v>
      </c>
      <c r="C115" s="8" t="s">
        <v>29</v>
      </c>
      <c r="D115" s="7" t="s">
        <v>41</v>
      </c>
      <c r="E115" s="7" t="s">
        <v>38</v>
      </c>
      <c r="F115" s="7" t="n">
        <v>6</v>
      </c>
      <c r="G115" s="7" t="n">
        <f aca="false">F115-B115</f>
        <v>-1</v>
      </c>
      <c r="H115" s="7" t="n">
        <f aca="false">ABS(G115)</f>
        <v>1</v>
      </c>
      <c r="I115" s="7" t="str">
        <f aca="false">IF(G115=0,"Yes","No")</f>
        <v>No</v>
      </c>
    </row>
    <row r="116" customFormat="false" ht="15" hidden="false" customHeight="false" outlineLevel="0" collapsed="false">
      <c r="A116" s="7" t="n">
        <v>7</v>
      </c>
      <c r="B116" s="7" t="n">
        <v>7</v>
      </c>
      <c r="C116" s="8" t="s">
        <v>30</v>
      </c>
      <c r="D116" s="7" t="s">
        <v>41</v>
      </c>
      <c r="E116" s="7" t="s">
        <v>38</v>
      </c>
      <c r="F116" s="7" t="n">
        <v>5</v>
      </c>
      <c r="G116" s="7" t="n">
        <f aca="false">F116-B116</f>
        <v>-2</v>
      </c>
      <c r="H116" s="7" t="n">
        <f aca="false">ABS(G116)</f>
        <v>2</v>
      </c>
      <c r="I116" s="7" t="str">
        <f aca="false">IF(G116=0,"Yes","No")</f>
        <v>No</v>
      </c>
    </row>
    <row r="117" customFormat="false" ht="15" hidden="false" customHeight="false" outlineLevel="0" collapsed="false">
      <c r="A117" s="7" t="n">
        <v>8</v>
      </c>
      <c r="B117" s="7" t="n">
        <v>7</v>
      </c>
      <c r="C117" s="8" t="s">
        <v>31</v>
      </c>
      <c r="D117" s="7" t="s">
        <v>41</v>
      </c>
      <c r="E117" s="7" t="s">
        <v>38</v>
      </c>
      <c r="F117" s="7" t="n">
        <v>4</v>
      </c>
      <c r="G117" s="7" t="n">
        <f aca="false">F117-B117</f>
        <v>-3</v>
      </c>
      <c r="H117" s="7" t="n">
        <f aca="false">ABS(G117)</f>
        <v>3</v>
      </c>
      <c r="I117" s="7" t="str">
        <f aca="false">IF(G117=0,"Yes","No")</f>
        <v>No</v>
      </c>
    </row>
    <row r="118" customFormat="false" ht="15" hidden="false" customHeight="false" outlineLevel="0" collapsed="false">
      <c r="A118" s="7" t="n">
        <v>9</v>
      </c>
      <c r="B118" s="7" t="n">
        <v>7</v>
      </c>
      <c r="C118" s="8" t="s">
        <v>32</v>
      </c>
      <c r="D118" s="7" t="s">
        <v>41</v>
      </c>
      <c r="E118" s="7" t="s">
        <v>38</v>
      </c>
      <c r="F118" s="7" t="n">
        <v>7</v>
      </c>
      <c r="G118" s="7" t="n">
        <f aca="false">F118-B118</f>
        <v>0</v>
      </c>
      <c r="H118" s="7" t="n">
        <f aca="false">ABS(G118)</f>
        <v>0</v>
      </c>
      <c r="I118" s="7" t="str">
        <f aca="false">IF(G118=0,"Yes","No")</f>
        <v>Yes</v>
      </c>
    </row>
    <row r="119" customFormat="false" ht="15" hidden="false" customHeight="false" outlineLevel="0" collapsed="false">
      <c r="A119" s="7" t="n">
        <v>10</v>
      </c>
      <c r="B119" s="7" t="n">
        <v>7</v>
      </c>
      <c r="C119" s="8" t="s">
        <v>32</v>
      </c>
      <c r="D119" s="7" t="s">
        <v>41</v>
      </c>
      <c r="E119" s="7" t="s">
        <v>38</v>
      </c>
      <c r="F119" s="7" t="n">
        <v>7</v>
      </c>
      <c r="G119" s="7" t="n">
        <f aca="false">F119-B119</f>
        <v>0</v>
      </c>
      <c r="H119" s="7" t="n">
        <f aca="false">ABS(G119)</f>
        <v>0</v>
      </c>
      <c r="I119" s="7" t="str">
        <f aca="false">IF(G119=0,"Yes","No")</f>
        <v>Yes</v>
      </c>
    </row>
    <row r="120" customFormat="false" ht="15" hidden="false" customHeight="false" outlineLevel="0" collapsed="false">
      <c r="A120" s="7" t="n">
        <v>11</v>
      </c>
      <c r="B120" s="7" t="n">
        <v>7</v>
      </c>
      <c r="C120" s="8" t="s">
        <v>33</v>
      </c>
      <c r="D120" s="7" t="s">
        <v>41</v>
      </c>
      <c r="E120" s="7" t="s">
        <v>38</v>
      </c>
      <c r="F120" s="7" t="n">
        <v>7</v>
      </c>
      <c r="G120" s="7" t="n">
        <f aca="false">F120-B120</f>
        <v>0</v>
      </c>
      <c r="H120" s="7" t="n">
        <f aca="false">ABS(G120)</f>
        <v>0</v>
      </c>
      <c r="I120" s="7" t="str">
        <f aca="false">IF(G120=0,"Yes","No")</f>
        <v>Yes</v>
      </c>
    </row>
    <row r="121" customFormat="false" ht="15" hidden="false" customHeight="false" outlineLevel="0" collapsed="false">
      <c r="A121" s="7" t="n">
        <v>12</v>
      </c>
      <c r="B121" s="7" t="n">
        <v>7</v>
      </c>
      <c r="C121" s="8" t="s">
        <v>34</v>
      </c>
      <c r="D121" s="7" t="s">
        <v>41</v>
      </c>
      <c r="E121" s="7" t="s">
        <v>38</v>
      </c>
      <c r="F121" s="7" t="n">
        <v>7</v>
      </c>
      <c r="G121" s="7" t="n">
        <f aca="false">F121-B121</f>
        <v>0</v>
      </c>
      <c r="H121" s="7" t="n">
        <f aca="false">ABS(G121)</f>
        <v>0</v>
      </c>
      <c r="I121" s="7" t="str">
        <f aca="false">IF(G121=0,"Yes","No")</f>
        <v>Yes</v>
      </c>
    </row>
    <row r="122" customFormat="false" ht="15" hidden="false" customHeight="false" outlineLevel="0" collapsed="false">
      <c r="A122" s="7" t="n">
        <v>13</v>
      </c>
      <c r="B122" s="7" t="n">
        <v>7</v>
      </c>
      <c r="C122" s="8" t="s">
        <v>35</v>
      </c>
      <c r="D122" s="7" t="s">
        <v>41</v>
      </c>
      <c r="E122" s="7" t="s">
        <v>38</v>
      </c>
      <c r="F122" s="7" t="n">
        <v>7</v>
      </c>
      <c r="G122" s="7" t="n">
        <f aca="false">F122-B122</f>
        <v>0</v>
      </c>
      <c r="H122" s="7" t="n">
        <f aca="false">ABS(G122)</f>
        <v>0</v>
      </c>
      <c r="I122" s="7" t="str">
        <f aca="false">IF(G122=0,"Yes","No")</f>
        <v>Yes</v>
      </c>
    </row>
    <row r="123" customFormat="false" ht="15" hidden="false" customHeight="false" outlineLevel="0" collapsed="false">
      <c r="A123" s="7" t="n">
        <v>14</v>
      </c>
      <c r="B123" s="7" t="n">
        <v>7</v>
      </c>
      <c r="C123" s="8" t="s">
        <v>36</v>
      </c>
      <c r="D123" s="7" t="s">
        <v>41</v>
      </c>
      <c r="E123" s="7" t="s">
        <v>38</v>
      </c>
      <c r="F123" s="7" t="n">
        <v>7</v>
      </c>
      <c r="G123" s="7" t="n">
        <f aca="false">F123-B123</f>
        <v>0</v>
      </c>
      <c r="H123" s="7" t="n">
        <f aca="false">ABS(G123)</f>
        <v>0</v>
      </c>
      <c r="I123" s="7" t="str">
        <f aca="false">IF(G123=0,"Yes","No")</f>
        <v>Yes</v>
      </c>
    </row>
    <row r="124" customFormat="false" ht="15" hidden="false" customHeight="false" outlineLevel="0" collapsed="false">
      <c r="A124" s="7" t="n">
        <v>15</v>
      </c>
      <c r="B124" s="7" t="n">
        <v>7</v>
      </c>
      <c r="C124" s="8" t="s">
        <v>37</v>
      </c>
      <c r="D124" s="7" t="s">
        <v>41</v>
      </c>
      <c r="E124" s="7" t="s">
        <v>38</v>
      </c>
      <c r="F124" s="7" t="n">
        <v>6</v>
      </c>
      <c r="G124" s="7" t="n">
        <f aca="false">F124-B124</f>
        <v>-1</v>
      </c>
      <c r="H124" s="7" t="n">
        <f aca="false">ABS(G124)</f>
        <v>1</v>
      </c>
      <c r="I124" s="7" t="str">
        <f aca="false">IF(G124=0,"Yes","No")</f>
        <v>No</v>
      </c>
    </row>
    <row r="125" customFormat="false" ht="15" hidden="false" customHeight="false" outlineLevel="0" collapsed="false">
      <c r="A125" s="7" t="n">
        <v>1</v>
      </c>
      <c r="B125" s="7" t="n">
        <v>7</v>
      </c>
      <c r="C125" s="8" t="s">
        <v>25</v>
      </c>
      <c r="D125" s="7" t="s">
        <v>41</v>
      </c>
      <c r="E125" s="7" t="s">
        <v>39</v>
      </c>
      <c r="F125" s="7" t="n">
        <v>7</v>
      </c>
      <c r="G125" s="7" t="n">
        <f aca="false">F125-B125</f>
        <v>0</v>
      </c>
      <c r="H125" s="7" t="n">
        <f aca="false">ABS(G125)</f>
        <v>0</v>
      </c>
      <c r="I125" s="7" t="str">
        <f aca="false">IF(G125=0,"Yes","No")</f>
        <v>Yes</v>
      </c>
    </row>
    <row r="126" customFormat="false" ht="15" hidden="false" customHeight="false" outlineLevel="0" collapsed="false">
      <c r="A126" s="7" t="n">
        <v>2</v>
      </c>
      <c r="B126" s="7" t="n">
        <v>3</v>
      </c>
      <c r="C126" s="8" t="s">
        <v>28</v>
      </c>
      <c r="D126" s="7" t="s">
        <v>41</v>
      </c>
      <c r="E126" s="7" t="s">
        <v>39</v>
      </c>
      <c r="F126" s="7" t="n">
        <v>3</v>
      </c>
      <c r="G126" s="7" t="n">
        <f aca="false">F126-B126</f>
        <v>0</v>
      </c>
      <c r="H126" s="7" t="n">
        <f aca="false">ABS(G126)</f>
        <v>0</v>
      </c>
      <c r="I126" s="7" t="str">
        <f aca="false">IF(G126=0,"Yes","No")</f>
        <v>Yes</v>
      </c>
    </row>
    <row r="127" customFormat="false" ht="15" hidden="false" customHeight="false" outlineLevel="0" collapsed="false">
      <c r="A127" s="7" t="n">
        <v>3</v>
      </c>
      <c r="B127" s="7" t="n">
        <v>5</v>
      </c>
      <c r="C127" s="8" t="s">
        <v>28</v>
      </c>
      <c r="D127" s="7" t="s">
        <v>41</v>
      </c>
      <c r="E127" s="7" t="s">
        <v>39</v>
      </c>
      <c r="F127" s="7" t="n">
        <v>5</v>
      </c>
      <c r="G127" s="7" t="n">
        <f aca="false">F127-B127</f>
        <v>0</v>
      </c>
      <c r="H127" s="7" t="n">
        <f aca="false">ABS(G127)</f>
        <v>0</v>
      </c>
      <c r="I127" s="7" t="str">
        <f aca="false">IF(G127=0,"Yes","No")</f>
        <v>Yes</v>
      </c>
    </row>
    <row r="128" customFormat="false" ht="15" hidden="false" customHeight="false" outlineLevel="0" collapsed="false">
      <c r="A128" s="7" t="n">
        <v>4</v>
      </c>
      <c r="B128" s="7" t="n">
        <v>10</v>
      </c>
      <c r="C128" s="8" t="s">
        <v>28</v>
      </c>
      <c r="D128" s="7" t="s">
        <v>41</v>
      </c>
      <c r="E128" s="7" t="s">
        <v>39</v>
      </c>
      <c r="F128" s="7" t="n">
        <v>10</v>
      </c>
      <c r="G128" s="7" t="n">
        <f aca="false">F128-B128</f>
        <v>0</v>
      </c>
      <c r="H128" s="7" t="n">
        <f aca="false">ABS(G128)</f>
        <v>0</v>
      </c>
      <c r="I128" s="7" t="str">
        <f aca="false">IF(G128=0,"Yes","No")</f>
        <v>Yes</v>
      </c>
    </row>
    <row r="129" customFormat="false" ht="15" hidden="false" customHeight="false" outlineLevel="0" collapsed="false">
      <c r="A129" s="7" t="n">
        <v>5</v>
      </c>
      <c r="B129" s="7" t="n">
        <v>15</v>
      </c>
      <c r="C129" s="8" t="s">
        <v>28</v>
      </c>
      <c r="D129" s="7" t="s">
        <v>41</v>
      </c>
      <c r="E129" s="7" t="s">
        <v>39</v>
      </c>
      <c r="F129" s="7" t="n">
        <v>15</v>
      </c>
      <c r="G129" s="7" t="n">
        <f aca="false">F129-B129</f>
        <v>0</v>
      </c>
      <c r="H129" s="7" t="n">
        <f aca="false">ABS(G129)</f>
        <v>0</v>
      </c>
      <c r="I129" s="7" t="str">
        <f aca="false">IF(G129=0,"Yes","No")</f>
        <v>Yes</v>
      </c>
    </row>
    <row r="130" customFormat="false" ht="15" hidden="false" customHeight="false" outlineLevel="0" collapsed="false">
      <c r="A130" s="7" t="n">
        <v>6</v>
      </c>
      <c r="B130" s="7" t="n">
        <v>7</v>
      </c>
      <c r="C130" s="8" t="s">
        <v>29</v>
      </c>
      <c r="D130" s="7" t="s">
        <v>41</v>
      </c>
      <c r="E130" s="7" t="s">
        <v>39</v>
      </c>
      <c r="F130" s="7" t="n">
        <v>7</v>
      </c>
      <c r="G130" s="7" t="n">
        <f aca="false">F130-B130</f>
        <v>0</v>
      </c>
      <c r="H130" s="7" t="n">
        <f aca="false">ABS(G130)</f>
        <v>0</v>
      </c>
      <c r="I130" s="7" t="str">
        <f aca="false">IF(G130=0,"Yes","No")</f>
        <v>Yes</v>
      </c>
    </row>
    <row r="131" customFormat="false" ht="15" hidden="false" customHeight="false" outlineLevel="0" collapsed="false">
      <c r="A131" s="7" t="n">
        <v>7</v>
      </c>
      <c r="B131" s="7" t="n">
        <v>7</v>
      </c>
      <c r="C131" s="8" t="s">
        <v>30</v>
      </c>
      <c r="D131" s="7" t="s">
        <v>41</v>
      </c>
      <c r="E131" s="7" t="s">
        <v>39</v>
      </c>
      <c r="F131" s="7" t="n">
        <v>7</v>
      </c>
      <c r="G131" s="7" t="n">
        <f aca="false">F131-B131</f>
        <v>0</v>
      </c>
      <c r="H131" s="7" t="n">
        <f aca="false">ABS(G131)</f>
        <v>0</v>
      </c>
      <c r="I131" s="7" t="str">
        <f aca="false">IF(G131=0,"Yes","No")</f>
        <v>Yes</v>
      </c>
    </row>
    <row r="132" customFormat="false" ht="15" hidden="false" customHeight="false" outlineLevel="0" collapsed="false">
      <c r="A132" s="7" t="n">
        <v>8</v>
      </c>
      <c r="B132" s="7" t="n">
        <v>7</v>
      </c>
      <c r="C132" s="8" t="s">
        <v>31</v>
      </c>
      <c r="D132" s="7" t="s">
        <v>41</v>
      </c>
      <c r="E132" s="7" t="s">
        <v>39</v>
      </c>
      <c r="F132" s="7" t="n">
        <v>6</v>
      </c>
      <c r="G132" s="7" t="n">
        <f aca="false">F132-B132</f>
        <v>-1</v>
      </c>
      <c r="H132" s="7" t="n">
        <f aca="false">ABS(G132)</f>
        <v>1</v>
      </c>
      <c r="I132" s="7" t="str">
        <f aca="false">IF(G132=0,"Yes","No")</f>
        <v>No</v>
      </c>
    </row>
    <row r="133" customFormat="false" ht="15" hidden="false" customHeight="false" outlineLevel="0" collapsed="false">
      <c r="A133" s="7" t="n">
        <v>9</v>
      </c>
      <c r="B133" s="7" t="n">
        <v>7</v>
      </c>
      <c r="C133" s="8" t="s">
        <v>32</v>
      </c>
      <c r="D133" s="7" t="s">
        <v>41</v>
      </c>
      <c r="E133" s="7" t="s">
        <v>39</v>
      </c>
      <c r="F133" s="7" t="n">
        <v>7</v>
      </c>
      <c r="G133" s="7" t="n">
        <f aca="false">F133-B133</f>
        <v>0</v>
      </c>
      <c r="H133" s="7" t="n">
        <f aca="false">ABS(G133)</f>
        <v>0</v>
      </c>
      <c r="I133" s="7" t="str">
        <f aca="false">IF(G133=0,"Yes","No")</f>
        <v>Yes</v>
      </c>
    </row>
    <row r="134" customFormat="false" ht="15" hidden="false" customHeight="false" outlineLevel="0" collapsed="false">
      <c r="A134" s="7" t="n">
        <v>10</v>
      </c>
      <c r="B134" s="7" t="n">
        <v>7</v>
      </c>
      <c r="C134" s="8" t="s">
        <v>32</v>
      </c>
      <c r="D134" s="7" t="s">
        <v>41</v>
      </c>
      <c r="E134" s="7" t="s">
        <v>39</v>
      </c>
      <c r="F134" s="7" t="n">
        <v>7</v>
      </c>
      <c r="G134" s="7" t="n">
        <f aca="false">F134-B134</f>
        <v>0</v>
      </c>
      <c r="H134" s="7" t="n">
        <f aca="false">ABS(G134)</f>
        <v>0</v>
      </c>
      <c r="I134" s="7" t="str">
        <f aca="false">IF(G134=0,"Yes","No")</f>
        <v>Yes</v>
      </c>
    </row>
    <row r="135" customFormat="false" ht="15" hidden="false" customHeight="false" outlineLevel="0" collapsed="false">
      <c r="A135" s="7" t="n">
        <v>11</v>
      </c>
      <c r="B135" s="7" t="n">
        <v>7</v>
      </c>
      <c r="C135" s="8" t="s">
        <v>33</v>
      </c>
      <c r="D135" s="7" t="s">
        <v>41</v>
      </c>
      <c r="E135" s="7" t="s">
        <v>39</v>
      </c>
      <c r="F135" s="7" t="n">
        <v>7</v>
      </c>
      <c r="G135" s="7" t="n">
        <f aca="false">F135-B135</f>
        <v>0</v>
      </c>
      <c r="H135" s="7" t="n">
        <f aca="false">ABS(G135)</f>
        <v>0</v>
      </c>
      <c r="I135" s="7" t="str">
        <f aca="false">IF(G135=0,"Yes","No")</f>
        <v>Yes</v>
      </c>
    </row>
    <row r="136" customFormat="false" ht="15" hidden="false" customHeight="false" outlineLevel="0" collapsed="false">
      <c r="A136" s="7" t="n">
        <v>12</v>
      </c>
      <c r="B136" s="7" t="n">
        <v>7</v>
      </c>
      <c r="C136" s="8" t="s">
        <v>34</v>
      </c>
      <c r="D136" s="7" t="s">
        <v>41</v>
      </c>
      <c r="E136" s="7" t="s">
        <v>39</v>
      </c>
      <c r="F136" s="7" t="n">
        <v>7</v>
      </c>
      <c r="G136" s="7" t="n">
        <f aca="false">F136-B136</f>
        <v>0</v>
      </c>
      <c r="H136" s="7" t="n">
        <f aca="false">ABS(G136)</f>
        <v>0</v>
      </c>
      <c r="I136" s="7" t="str">
        <f aca="false">IF(G136=0,"Yes","No")</f>
        <v>Yes</v>
      </c>
    </row>
    <row r="137" customFormat="false" ht="15" hidden="false" customHeight="false" outlineLevel="0" collapsed="false">
      <c r="A137" s="7" t="n">
        <v>13</v>
      </c>
      <c r="B137" s="7" t="n">
        <v>7</v>
      </c>
      <c r="C137" s="8" t="s">
        <v>35</v>
      </c>
      <c r="D137" s="7" t="s">
        <v>41</v>
      </c>
      <c r="E137" s="7" t="s">
        <v>39</v>
      </c>
      <c r="F137" s="7" t="n">
        <v>7</v>
      </c>
      <c r="G137" s="7" t="n">
        <f aca="false">F137-B137</f>
        <v>0</v>
      </c>
      <c r="H137" s="7" t="n">
        <f aca="false">ABS(G137)</f>
        <v>0</v>
      </c>
      <c r="I137" s="7" t="str">
        <f aca="false">IF(G137=0,"Yes","No")</f>
        <v>Yes</v>
      </c>
    </row>
    <row r="138" customFormat="false" ht="15" hidden="false" customHeight="false" outlineLevel="0" collapsed="false">
      <c r="A138" s="7" t="n">
        <v>14</v>
      </c>
      <c r="B138" s="7" t="n">
        <v>7</v>
      </c>
      <c r="C138" s="8" t="s">
        <v>36</v>
      </c>
      <c r="D138" s="7" t="s">
        <v>41</v>
      </c>
      <c r="E138" s="7" t="s">
        <v>39</v>
      </c>
      <c r="F138" s="7" t="n">
        <v>7</v>
      </c>
      <c r="G138" s="7" t="n">
        <f aca="false">F138-B138</f>
        <v>0</v>
      </c>
      <c r="H138" s="7" t="n">
        <f aca="false">ABS(G138)</f>
        <v>0</v>
      </c>
      <c r="I138" s="7" t="str">
        <f aca="false">IF(G138=0,"Yes","No")</f>
        <v>Yes</v>
      </c>
    </row>
    <row r="139" customFormat="false" ht="15" hidden="false" customHeight="false" outlineLevel="0" collapsed="false">
      <c r="A139" s="7" t="n">
        <v>15</v>
      </c>
      <c r="B139" s="7" t="n">
        <v>7</v>
      </c>
      <c r="C139" s="8" t="s">
        <v>37</v>
      </c>
      <c r="D139" s="7" t="s">
        <v>41</v>
      </c>
      <c r="E139" s="7" t="s">
        <v>39</v>
      </c>
      <c r="F139" s="7" t="n">
        <v>7</v>
      </c>
      <c r="G139" s="7" t="n">
        <f aca="false">F139-B139</f>
        <v>0</v>
      </c>
      <c r="H139" s="7" t="n">
        <f aca="false">ABS(G139)</f>
        <v>0</v>
      </c>
      <c r="I139" s="7" t="str">
        <f aca="false">IF(G139=0,"Yes","No")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15"/>
    <col collapsed="false" customWidth="true" hidden="false" outlineLevel="0" max="4" min="4" style="0" width="16"/>
    <col collapsed="false" customWidth="true" hidden="false" outlineLevel="0" max="5" min="5" style="0" width="11"/>
  </cols>
  <sheetData>
    <row r="1" customFormat="false" ht="17.35" hidden="false" customHeight="false" outlineLevel="0" collapsed="false">
      <c r="A1" s="1" t="s">
        <v>42</v>
      </c>
    </row>
    <row r="2" customFormat="false" ht="15" hidden="false" customHeight="false" outlineLevel="0" collapsed="false">
      <c r="A2" s="3" t="s">
        <v>43</v>
      </c>
    </row>
    <row r="4" customFormat="false" ht="15" hidden="false" customHeight="false" outlineLevel="0" collapsed="false">
      <c r="A4" s="9" t="s">
        <v>44</v>
      </c>
    </row>
    <row r="5" customFormat="false" ht="15" hidden="false" customHeight="false" outlineLevel="0" collapsed="false">
      <c r="A5" s="4" t="s">
        <v>20</v>
      </c>
      <c r="B5" s="4" t="s">
        <v>26</v>
      </c>
      <c r="C5" s="4" t="s">
        <v>40</v>
      </c>
      <c r="D5" s="4" t="s">
        <v>41</v>
      </c>
      <c r="E5" s="4" t="s">
        <v>45</v>
      </c>
    </row>
    <row r="6" customFormat="false" ht="15" hidden="false" customHeight="false" outlineLevel="0" collapsed="false">
      <c r="A6" s="10" t="s">
        <v>27</v>
      </c>
      <c r="B6" s="11" t="n">
        <f aca="false">COUNTIFS('Exp1 Model Comparison'!$E:$E,$A6,'Exp1 Model Comparison'!$D:$D,"Naive (P1)",'Exp1 Model Comparison'!$I:$I,"Yes")/COUNTIFS('Exp1 Model Comparison'!$E:$E,$A6,'Exp1 Model Comparison'!$D:$D,"Naive (P1)")</f>
        <v>0.6</v>
      </c>
      <c r="C6" s="11" t="n">
        <f aca="false">COUNTIFS('Exp1 Model Comparison'!$E:$E,$A6,'Exp1 Model Comparison'!$D:$D,"Careful (P2)",'Exp1 Model Comparison'!$I:$I,"Yes")/COUNTIFS('Exp1 Model Comparison'!$E:$E,$A6,'Exp1 Model Comparison'!$D:$D,"Careful (P2)")</f>
        <v>0.533333333333333</v>
      </c>
      <c r="D6" s="11" t="n">
        <f aca="false">COUNTIFS('Exp1 Model Comparison'!$E:$E,$A6,'Exp1 Model Comparison'!$D:$D,"Double-check (P3)",'Exp1 Model Comparison'!$I:$I,"Yes")/COUNTIFS('Exp1 Model Comparison'!$E:$E,$A6,'Exp1 Model Comparison'!$D:$D,"Double-check (P3)")</f>
        <v>0.733333333333333</v>
      </c>
      <c r="E6" s="12" t="n">
        <f aca="false">COUNTIFS('Exp1 Model Comparison'!$E:$E,$A6,'Exp1 Model Comparison'!$I:$I,"Yes")/COUNTIF('Exp1 Model Comparison'!$E:$E,$A6)</f>
        <v>0.622222222222222</v>
      </c>
    </row>
    <row r="7" customFormat="false" ht="15" hidden="false" customHeight="false" outlineLevel="0" collapsed="false">
      <c r="A7" s="10" t="s">
        <v>38</v>
      </c>
      <c r="B7" s="11" t="n">
        <f aca="false">COUNTIFS('Exp1 Model Comparison'!$E:$E,$A7,'Exp1 Model Comparison'!$D:$D,"Naive (P1)",'Exp1 Model Comparison'!$I:$I,"Yes")/COUNTIFS('Exp1 Model Comparison'!$E:$E,$A7,'Exp1 Model Comparison'!$D:$D,"Naive (P1)")</f>
        <v>0.733333333333333</v>
      </c>
      <c r="C7" s="11" t="n">
        <f aca="false">COUNTIFS('Exp1 Model Comparison'!$E:$E,$A7,'Exp1 Model Comparison'!$D:$D,"Careful (P2)",'Exp1 Model Comparison'!$I:$I,"Yes")/COUNTIFS('Exp1 Model Comparison'!$E:$E,$A7,'Exp1 Model Comparison'!$D:$D,"Careful (P2)")</f>
        <v>0.733333333333333</v>
      </c>
      <c r="D7" s="11" t="n">
        <f aca="false">COUNTIFS('Exp1 Model Comparison'!$E:$E,$A7,'Exp1 Model Comparison'!$D:$D,"Double-check (P3)",'Exp1 Model Comparison'!$I:$I,"Yes")/COUNTIFS('Exp1 Model Comparison'!$E:$E,$A7,'Exp1 Model Comparison'!$D:$D,"Double-check (P3)")</f>
        <v>0.733333333333333</v>
      </c>
      <c r="E7" s="12" t="n">
        <f aca="false">COUNTIFS('Exp1 Model Comparison'!$E:$E,$A7,'Exp1 Model Comparison'!$I:$I,"Yes")/COUNTIF('Exp1 Model Comparison'!$E:$E,$A7)</f>
        <v>0.733333333333333</v>
      </c>
    </row>
    <row r="8" customFormat="false" ht="15" hidden="false" customHeight="false" outlineLevel="0" collapsed="false">
      <c r="A8" s="10" t="s">
        <v>39</v>
      </c>
      <c r="B8" s="11" t="n">
        <f aca="false">COUNTIFS('Exp1 Model Comparison'!$E:$E,$A8,'Exp1 Model Comparison'!$D:$D,"Naive (P1)",'Exp1 Model Comparison'!$I:$I,"Yes")/COUNTIFS('Exp1 Model Comparison'!$E:$E,$A8,'Exp1 Model Comparison'!$D:$D,"Naive (P1)")</f>
        <v>0.933333333333333</v>
      </c>
      <c r="C8" s="11" t="n">
        <f aca="false">COUNTIFS('Exp1 Model Comparison'!$E:$E,$A8,'Exp1 Model Comparison'!$D:$D,"Careful (P2)",'Exp1 Model Comparison'!$I:$I,"Yes")/COUNTIFS('Exp1 Model Comparison'!$E:$E,$A8,'Exp1 Model Comparison'!$D:$D,"Careful (P2)")</f>
        <v>1</v>
      </c>
      <c r="D8" s="11" t="n">
        <f aca="false">COUNTIFS('Exp1 Model Comparison'!$E:$E,$A8,'Exp1 Model Comparison'!$D:$D,"Double-check (P3)",'Exp1 Model Comparison'!$I:$I,"Yes")/COUNTIFS('Exp1 Model Comparison'!$E:$E,$A8,'Exp1 Model Comparison'!$D:$D,"Double-check (P3)")</f>
        <v>0.933333333333333</v>
      </c>
      <c r="E8" s="12" t="n">
        <f aca="false">COUNTIFS('Exp1 Model Comparison'!$E:$E,$A8,'Exp1 Model Comparison'!$I:$I,"Yes")/COUNTIF('Exp1 Model Comparison'!$E:$E,$A8)</f>
        <v>0.955555555555556</v>
      </c>
    </row>
    <row r="11" customFormat="false" ht="15" hidden="false" customHeight="false" outlineLevel="0" collapsed="false">
      <c r="A11" s="9" t="s">
        <v>46</v>
      </c>
    </row>
    <row r="12" customFormat="false" ht="15" hidden="false" customHeight="false" outlineLevel="0" collapsed="false">
      <c r="A12" s="4" t="s">
        <v>20</v>
      </c>
      <c r="B12" s="4" t="s">
        <v>26</v>
      </c>
      <c r="C12" s="4" t="s">
        <v>40</v>
      </c>
      <c r="D12" s="4" t="s">
        <v>41</v>
      </c>
      <c r="E12" s="4" t="s">
        <v>45</v>
      </c>
    </row>
    <row r="13" customFormat="false" ht="15" hidden="false" customHeight="false" outlineLevel="0" collapsed="false">
      <c r="A13" s="10" t="s">
        <v>27</v>
      </c>
      <c r="B13" s="13" t="n">
        <f aca="false">AVERAGEIFS('Exp1 Model Comparison'!$H:$H,'Exp1 Model Comparison'!$E:$E,$A13,'Exp1 Model Comparison'!$D:$D,"Naive (P1)")</f>
        <v>0.533333333333333</v>
      </c>
      <c r="C13" s="13" t="n">
        <f aca="false">AVERAGEIFS('Exp1 Model Comparison'!$H:$H,'Exp1 Model Comparison'!$E:$E,$A13,'Exp1 Model Comparison'!$D:$D,"Careful (P2)")</f>
        <v>0.466666666666667</v>
      </c>
      <c r="D13" s="13" t="n">
        <f aca="false">AVERAGEIFS('Exp1 Model Comparison'!$H:$H,'Exp1 Model Comparison'!$E:$E,$A13,'Exp1 Model Comparison'!$D:$D,"Double-check (P3)")</f>
        <v>0.333333333333333</v>
      </c>
      <c r="E13" s="14" t="n">
        <f aca="false">AVERAGEIFS('Exp1 Model Comparison'!$H:$H,'Exp1 Model Comparison'!$E:$E,$A13)</f>
        <v>0.444444444444444</v>
      </c>
    </row>
    <row r="14" customFormat="false" ht="15" hidden="false" customHeight="false" outlineLevel="0" collapsed="false">
      <c r="A14" s="10" t="s">
        <v>38</v>
      </c>
      <c r="B14" s="13" t="n">
        <f aca="false">AVERAGEIFS('Exp1 Model Comparison'!$H:$H,'Exp1 Model Comparison'!$E:$E,$A14,'Exp1 Model Comparison'!$D:$D,"Naive (P1)")</f>
        <v>0.466666666666667</v>
      </c>
      <c r="C14" s="13" t="n">
        <f aca="false">AVERAGEIFS('Exp1 Model Comparison'!$H:$H,'Exp1 Model Comparison'!$E:$E,$A14,'Exp1 Model Comparison'!$D:$D,"Careful (P2)")</f>
        <v>0.6</v>
      </c>
      <c r="D14" s="13" t="n">
        <f aca="false">AVERAGEIFS('Exp1 Model Comparison'!$H:$H,'Exp1 Model Comparison'!$E:$E,$A14,'Exp1 Model Comparison'!$D:$D,"Double-check (P3)")</f>
        <v>0.466666666666667</v>
      </c>
      <c r="E14" s="14" t="n">
        <f aca="false">AVERAGEIFS('Exp1 Model Comparison'!$H:$H,'Exp1 Model Comparison'!$E:$E,$A14)</f>
        <v>0.511111111111111</v>
      </c>
    </row>
    <row r="15" customFormat="false" ht="15" hidden="false" customHeight="false" outlineLevel="0" collapsed="false">
      <c r="A15" s="10" t="s">
        <v>39</v>
      </c>
      <c r="B15" s="13" t="n">
        <f aca="false">AVERAGEIFS('Exp1 Model Comparison'!$H:$H,'Exp1 Model Comparison'!$E:$E,$A15,'Exp1 Model Comparison'!$D:$D,"Naive (P1)")</f>
        <v>0.0666666666666667</v>
      </c>
      <c r="C15" s="13" t="n">
        <f aca="false">AVERAGEIFS('Exp1 Model Comparison'!$H:$H,'Exp1 Model Comparison'!$E:$E,$A15,'Exp1 Model Comparison'!$D:$D,"Careful (P2)")</f>
        <v>0</v>
      </c>
      <c r="D15" s="13" t="n">
        <f aca="false">AVERAGEIFS('Exp1 Model Comparison'!$H:$H,'Exp1 Model Comparison'!$E:$E,$A15,'Exp1 Model Comparison'!$D:$D,"Double-check (P3)")</f>
        <v>0.0666666666666667</v>
      </c>
      <c r="E15" s="14" t="n">
        <f aca="false">AVERAGEIFS('Exp1 Model Comparison'!$H:$H,'Exp1 Model Comparison'!$E:$E,$A15)</f>
        <v>0.0444444444444444</v>
      </c>
    </row>
    <row r="18" customFormat="false" ht="15" hidden="false" customHeight="false" outlineLevel="0" collapsed="false">
      <c r="A18" s="9" t="s">
        <v>47</v>
      </c>
    </row>
    <row r="19" customFormat="false" ht="15" hidden="false" customHeight="false" outlineLevel="0" collapsed="false">
      <c r="A19" s="2" t="s">
        <v>48</v>
      </c>
    </row>
    <row r="20" customFormat="false" ht="15" hidden="false" customHeight="false" outlineLevel="0" collapsed="false">
      <c r="A20" s="2" t="s">
        <v>49</v>
      </c>
    </row>
    <row r="21" customFormat="false" ht="15" hidden="false" customHeight="false" outlineLevel="0" collapsed="false">
      <c r="A21" s="2" t="s">
        <v>50</v>
      </c>
    </row>
    <row r="22" customFormat="false" ht="15" hidden="false" customHeight="false" outlineLevel="0" collapsed="false">
      <c r="A22" s="2" t="s">
        <v>51</v>
      </c>
    </row>
    <row r="23" customFormat="false" ht="15" hidden="false" customHeight="false" outlineLevel="0" collapsed="false">
      <c r="A23"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0"/>
    <col collapsed="false" customWidth="true" hidden="false" outlineLevel="0" max="4" min="4" style="0" width="20"/>
    <col collapsed="false" customWidth="true" hidden="false" outlineLevel="0" max="5" min="5" style="0" width="24"/>
    <col collapsed="false" customWidth="true" hidden="false" outlineLevel="0" max="6" min="6" style="0" width="13"/>
    <col collapsed="false" customWidth="true" hidden="false" outlineLevel="0" max="7" min="7" style="0" width="10"/>
    <col collapsed="false" customWidth="true" hidden="false" outlineLevel="0" max="8" min="8" style="0" width="7"/>
    <col collapsed="false" customWidth="true" hidden="false" outlineLevel="0" max="9" min="9" style="0" width="6"/>
    <col collapsed="false" customWidth="true" hidden="false" outlineLevel="0" max="10" min="10" style="0" width="11"/>
    <col collapsed="false" customWidth="true" hidden="false" outlineLevel="0" max="11" min="11" style="0" width="40"/>
  </cols>
  <sheetData>
    <row r="1" customFormat="false" ht="17.35" hidden="false" customHeight="false" outlineLevel="0" collapsed="false">
      <c r="A1" s="1" t="s">
        <v>53</v>
      </c>
    </row>
    <row r="2" customFormat="false" ht="15" hidden="false" customHeight="false" outlineLevel="0" collapsed="false">
      <c r="A2" s="3" t="s">
        <v>54</v>
      </c>
    </row>
    <row r="4" customFormat="false" ht="15" hidden="false" customHeight="false" outlineLevel="0" collapsed="false">
      <c r="A4" s="4" t="s">
        <v>55</v>
      </c>
      <c r="B4" s="4" t="s">
        <v>56</v>
      </c>
      <c r="C4" s="4" t="s">
        <v>57</v>
      </c>
      <c r="D4" s="4" t="s">
        <v>58</v>
      </c>
      <c r="E4" s="4" t="s">
        <v>59</v>
      </c>
      <c r="F4" s="4" t="s">
        <v>60</v>
      </c>
      <c r="G4" s="4" t="s">
        <v>61</v>
      </c>
      <c r="H4" s="4" t="s">
        <v>62</v>
      </c>
      <c r="I4" s="4" t="s">
        <v>63</v>
      </c>
      <c r="J4" s="4" t="s">
        <v>64</v>
      </c>
      <c r="K4" s="4" t="s">
        <v>65</v>
      </c>
    </row>
    <row r="5" customFormat="false" ht="15" hidden="false" customHeight="false" outlineLevel="0" collapsed="false">
      <c r="A5" s="5" t="n">
        <v>1</v>
      </c>
      <c r="B5" s="5" t="s">
        <v>66</v>
      </c>
      <c r="C5" s="5" t="s">
        <v>67</v>
      </c>
      <c r="D5" s="6" t="s">
        <v>68</v>
      </c>
      <c r="E5" s="6" t="s">
        <v>69</v>
      </c>
      <c r="F5" s="5" t="n">
        <v>5</v>
      </c>
      <c r="G5" s="5" t="n">
        <v>5</v>
      </c>
      <c r="H5" s="5" t="n">
        <f aca="false">G5-F5</f>
        <v>0</v>
      </c>
      <c r="I5" s="5" t="n">
        <f aca="false">ABS(H5)</f>
        <v>0</v>
      </c>
      <c r="J5" s="5" t="str">
        <f aca="false">IF(H5=0,"Match","Mismatch")</f>
        <v>Match</v>
      </c>
      <c r="K5" s="6"/>
    </row>
    <row r="6" customFormat="false" ht="15" hidden="false" customHeight="false" outlineLevel="0" collapsed="false">
      <c r="A6" s="5" t="n">
        <v>2</v>
      </c>
      <c r="B6" s="5" t="s">
        <v>66</v>
      </c>
      <c r="C6" s="5" t="s">
        <v>70</v>
      </c>
      <c r="D6" s="6" t="s">
        <v>68</v>
      </c>
      <c r="E6" s="6" t="s">
        <v>71</v>
      </c>
      <c r="F6" s="5" t="n">
        <v>5</v>
      </c>
      <c r="G6" s="5" t="n">
        <v>5</v>
      </c>
      <c r="H6" s="5" t="n">
        <f aca="false">G6-F6</f>
        <v>0</v>
      </c>
      <c r="I6" s="5" t="n">
        <f aca="false">ABS(H6)</f>
        <v>0</v>
      </c>
      <c r="J6" s="5" t="str">
        <f aca="false">IF(H6=0,"Match","Mismatch")</f>
        <v>Match</v>
      </c>
      <c r="K6" s="6"/>
    </row>
    <row r="7" customFormat="false" ht="15" hidden="false" customHeight="false" outlineLevel="0" collapsed="false">
      <c r="A7" s="5" t="n">
        <v>3</v>
      </c>
      <c r="B7" s="5" t="s">
        <v>66</v>
      </c>
      <c r="C7" s="5" t="s">
        <v>72</v>
      </c>
      <c r="D7" s="6" t="s">
        <v>73</v>
      </c>
      <c r="E7" s="6" t="s">
        <v>69</v>
      </c>
      <c r="F7" s="5" t="n">
        <v>5</v>
      </c>
      <c r="G7" s="5" t="n">
        <v>5</v>
      </c>
      <c r="H7" s="5" t="n">
        <f aca="false">G7-F7</f>
        <v>0</v>
      </c>
      <c r="I7" s="5" t="n">
        <f aca="false">ABS(H7)</f>
        <v>0</v>
      </c>
      <c r="J7" s="5" t="str">
        <f aca="false">IF(H7=0,"Match","Mismatch")</f>
        <v>Match</v>
      </c>
      <c r="K7" s="6"/>
    </row>
    <row r="8" customFormat="false" ht="15" hidden="false" customHeight="false" outlineLevel="0" collapsed="false">
      <c r="A8" s="5" t="n">
        <v>4</v>
      </c>
      <c r="B8" s="5" t="s">
        <v>66</v>
      </c>
      <c r="C8" s="5" t="s">
        <v>74</v>
      </c>
      <c r="D8" s="6" t="s">
        <v>75</v>
      </c>
      <c r="E8" s="6" t="s">
        <v>76</v>
      </c>
      <c r="F8" s="5" t="n">
        <v>5</v>
      </c>
      <c r="G8" s="5" t="n">
        <v>5</v>
      </c>
      <c r="H8" s="5" t="n">
        <f aca="false">G8-F8</f>
        <v>0</v>
      </c>
      <c r="I8" s="5" t="n">
        <f aca="false">ABS(H8)</f>
        <v>0</v>
      </c>
      <c r="J8" s="5" t="str">
        <f aca="false">IF(H8=0,"Match","Mismatch")</f>
        <v>Match</v>
      </c>
      <c r="K8" s="6"/>
    </row>
    <row r="9" customFormat="false" ht="15" hidden="false" customHeight="false" outlineLevel="0" collapsed="false">
      <c r="A9" s="5" t="n">
        <v>5</v>
      </c>
      <c r="B9" s="5" t="s">
        <v>77</v>
      </c>
      <c r="C9" s="5" t="s">
        <v>67</v>
      </c>
      <c r="D9" s="6" t="s">
        <v>68</v>
      </c>
      <c r="E9" s="6" t="s">
        <v>69</v>
      </c>
      <c r="F9" s="5" t="n">
        <v>7</v>
      </c>
      <c r="G9" s="5" t="n">
        <v>7</v>
      </c>
      <c r="H9" s="5" t="n">
        <f aca="false">G9-F9</f>
        <v>0</v>
      </c>
      <c r="I9" s="5" t="n">
        <f aca="false">ABS(H9)</f>
        <v>0</v>
      </c>
      <c r="J9" s="5" t="str">
        <f aca="false">IF(H9=0,"Match","Mismatch")</f>
        <v>Match</v>
      </c>
      <c r="K9" s="6"/>
    </row>
    <row r="10" customFormat="false" ht="15" hidden="false" customHeight="false" outlineLevel="0" collapsed="false">
      <c r="A10" s="5" t="n">
        <v>6</v>
      </c>
      <c r="B10" s="5" t="s">
        <v>77</v>
      </c>
      <c r="C10" s="5" t="s">
        <v>70</v>
      </c>
      <c r="D10" s="6" t="s">
        <v>68</v>
      </c>
      <c r="E10" s="6" t="s">
        <v>71</v>
      </c>
      <c r="F10" s="5" t="n">
        <v>7</v>
      </c>
      <c r="G10" s="5" t="n">
        <v>7</v>
      </c>
      <c r="H10" s="5" t="n">
        <f aca="false">G10-F10</f>
        <v>0</v>
      </c>
      <c r="I10" s="5" t="n">
        <f aca="false">ABS(H10)</f>
        <v>0</v>
      </c>
      <c r="J10" s="5" t="str">
        <f aca="false">IF(H10=0,"Match","Mismatch")</f>
        <v>Match</v>
      </c>
      <c r="K10" s="6"/>
    </row>
    <row r="11" customFormat="false" ht="15" hidden="false" customHeight="false" outlineLevel="0" collapsed="false">
      <c r="A11" s="5" t="n">
        <v>7</v>
      </c>
      <c r="B11" s="5" t="s">
        <v>77</v>
      </c>
      <c r="C11" s="5" t="s">
        <v>72</v>
      </c>
      <c r="D11" s="6" t="s">
        <v>73</v>
      </c>
      <c r="E11" s="6" t="s">
        <v>69</v>
      </c>
      <c r="F11" s="5" t="n">
        <v>7</v>
      </c>
      <c r="G11" s="5" t="n">
        <v>7</v>
      </c>
      <c r="H11" s="5" t="n">
        <f aca="false">G11-F11</f>
        <v>0</v>
      </c>
      <c r="I11" s="5" t="n">
        <f aca="false">ABS(H11)</f>
        <v>0</v>
      </c>
      <c r="J11" s="5" t="str">
        <f aca="false">IF(H11=0,"Match","Mismatch")</f>
        <v>Match</v>
      </c>
      <c r="K11" s="6"/>
    </row>
    <row r="12" customFormat="false" ht="15" hidden="false" customHeight="false" outlineLevel="0" collapsed="false">
      <c r="A12" s="5" t="n">
        <v>8</v>
      </c>
      <c r="B12" s="5" t="s">
        <v>77</v>
      </c>
      <c r="C12" s="5" t="s">
        <v>74</v>
      </c>
      <c r="D12" s="6" t="s">
        <v>75</v>
      </c>
      <c r="E12" s="6" t="s">
        <v>76</v>
      </c>
      <c r="F12" s="5" t="n">
        <v>7</v>
      </c>
      <c r="G12" s="5" t="n">
        <v>7</v>
      </c>
      <c r="H12" s="5" t="n">
        <f aca="false">G12-F12</f>
        <v>0</v>
      </c>
      <c r="I12" s="5" t="n">
        <f aca="false">ABS(H12)</f>
        <v>0</v>
      </c>
      <c r="J12" s="5" t="str">
        <f aca="false">IF(H12=0,"Match","Mismatch")</f>
        <v>Match</v>
      </c>
      <c r="K12" s="6"/>
    </row>
    <row r="13" customFormat="false" ht="15" hidden="false" customHeight="false" outlineLevel="0" collapsed="false">
      <c r="A13" s="5" t="n">
        <v>9</v>
      </c>
      <c r="B13" s="5" t="s">
        <v>78</v>
      </c>
      <c r="C13" s="5" t="s">
        <v>67</v>
      </c>
      <c r="D13" s="6" t="s">
        <v>68</v>
      </c>
      <c r="E13" s="6" t="s">
        <v>69</v>
      </c>
      <c r="F13" s="5" t="n">
        <v>10</v>
      </c>
      <c r="G13" s="5" t="n">
        <v>10</v>
      </c>
      <c r="H13" s="5" t="n">
        <f aca="false">G13-F13</f>
        <v>0</v>
      </c>
      <c r="I13" s="5" t="n">
        <f aca="false">ABS(H13)</f>
        <v>0</v>
      </c>
      <c r="J13" s="5" t="str">
        <f aca="false">IF(H13=0,"Match","Mismatch")</f>
        <v>Match</v>
      </c>
      <c r="K13" s="6"/>
    </row>
    <row r="14" customFormat="false" ht="15" hidden="false" customHeight="false" outlineLevel="0" collapsed="false">
      <c r="A14" s="5" t="n">
        <v>10</v>
      </c>
      <c r="B14" s="5" t="s">
        <v>78</v>
      </c>
      <c r="C14" s="5" t="s">
        <v>70</v>
      </c>
      <c r="D14" s="6" t="s">
        <v>68</v>
      </c>
      <c r="E14" s="6" t="s">
        <v>71</v>
      </c>
      <c r="F14" s="5" t="n">
        <v>10</v>
      </c>
      <c r="G14" s="5" t="n">
        <v>10</v>
      </c>
      <c r="H14" s="5" t="n">
        <f aca="false">G14-F14</f>
        <v>0</v>
      </c>
      <c r="I14" s="5" t="n">
        <f aca="false">ABS(H14)</f>
        <v>0</v>
      </c>
      <c r="J14" s="5" t="str">
        <f aca="false">IF(H14=0,"Match","Mismatch")</f>
        <v>Match</v>
      </c>
      <c r="K14" s="6"/>
    </row>
    <row r="15" customFormat="false" ht="15" hidden="false" customHeight="false" outlineLevel="0" collapsed="false">
      <c r="A15" s="5" t="n">
        <v>11</v>
      </c>
      <c r="B15" s="5" t="s">
        <v>78</v>
      </c>
      <c r="C15" s="5" t="s">
        <v>72</v>
      </c>
      <c r="D15" s="6" t="s">
        <v>73</v>
      </c>
      <c r="E15" s="6" t="s">
        <v>69</v>
      </c>
      <c r="F15" s="5" t="n">
        <v>10</v>
      </c>
      <c r="G15" s="5" t="n">
        <v>9</v>
      </c>
      <c r="H15" s="5" t="n">
        <f aca="false">G15-F15</f>
        <v>-1</v>
      </c>
      <c r="I15" s="5" t="n">
        <f aca="false">ABS(H15)</f>
        <v>1</v>
      </c>
      <c r="J15" s="5" t="str">
        <f aca="false">IF(H15=0,"Match","Mismatch")</f>
        <v>Mismatch</v>
      </c>
      <c r="K15" s="6" t="s">
        <v>79</v>
      </c>
    </row>
    <row r="16" customFormat="false" ht="15" hidden="false" customHeight="false" outlineLevel="0" collapsed="false">
      <c r="A16" s="5" t="n">
        <v>12</v>
      </c>
      <c r="B16" s="5" t="s">
        <v>78</v>
      </c>
      <c r="C16" s="5" t="s">
        <v>74</v>
      </c>
      <c r="D16" s="6" t="s">
        <v>75</v>
      </c>
      <c r="E16" s="6" t="s">
        <v>76</v>
      </c>
      <c r="F16" s="5" t="n">
        <v>10</v>
      </c>
      <c r="G16" s="5" t="n">
        <v>9</v>
      </c>
      <c r="H16" s="5" t="n">
        <f aca="false">G16-F16</f>
        <v>-1</v>
      </c>
      <c r="I16" s="5" t="n">
        <f aca="false">ABS(H16)</f>
        <v>1</v>
      </c>
      <c r="J16" s="5" t="str">
        <f aca="false">IF(H16=0,"Match","Mismatch")</f>
        <v>Mismatch</v>
      </c>
      <c r="K16" s="6" t="s">
        <v>80</v>
      </c>
    </row>
    <row r="17" customFormat="false" ht="15" hidden="false" customHeight="false" outlineLevel="0" collapsed="false">
      <c r="A17" s="5" t="n">
        <v>13</v>
      </c>
      <c r="B17" s="5" t="s">
        <v>81</v>
      </c>
      <c r="C17" s="5" t="s">
        <v>67</v>
      </c>
      <c r="D17" s="6" t="s">
        <v>68</v>
      </c>
      <c r="E17" s="6" t="s">
        <v>69</v>
      </c>
      <c r="F17" s="5" t="n">
        <v>10</v>
      </c>
      <c r="G17" s="5" t="n">
        <v>9</v>
      </c>
      <c r="H17" s="5" t="n">
        <f aca="false">G17-F17</f>
        <v>-1</v>
      </c>
      <c r="I17" s="5" t="n">
        <f aca="false">ABS(H17)</f>
        <v>1</v>
      </c>
      <c r="J17" s="5" t="str">
        <f aca="false">IF(H17=0,"Match","Mismatch")</f>
        <v>Mismatch</v>
      </c>
      <c r="K17" s="6"/>
    </row>
    <row r="18" customFormat="false" ht="15" hidden="false" customHeight="false" outlineLevel="0" collapsed="false">
      <c r="A18" s="5" t="n">
        <v>14</v>
      </c>
      <c r="B18" s="5" t="s">
        <v>81</v>
      </c>
      <c r="C18" s="5" t="s">
        <v>70</v>
      </c>
      <c r="D18" s="6" t="s">
        <v>68</v>
      </c>
      <c r="E18" s="6" t="s">
        <v>71</v>
      </c>
      <c r="F18" s="5" t="n">
        <v>10</v>
      </c>
      <c r="G18" s="5" t="n">
        <v>9</v>
      </c>
      <c r="H18" s="5" t="n">
        <f aca="false">G18-F18</f>
        <v>-1</v>
      </c>
      <c r="I18" s="5" t="n">
        <f aca="false">ABS(H18)</f>
        <v>1</v>
      </c>
      <c r="J18" s="5" t="str">
        <f aca="false">IF(H18=0,"Match","Mismatch")</f>
        <v>Mismatch</v>
      </c>
      <c r="K18" s="6"/>
    </row>
    <row r="19" customFormat="false" ht="15" hidden="false" customHeight="false" outlineLevel="0" collapsed="false">
      <c r="A19" s="5" t="n">
        <v>15</v>
      </c>
      <c r="B19" s="5" t="s">
        <v>81</v>
      </c>
      <c r="C19" s="5" t="s">
        <v>72</v>
      </c>
      <c r="D19" s="6" t="s">
        <v>73</v>
      </c>
      <c r="E19" s="6" t="s">
        <v>69</v>
      </c>
      <c r="F19" s="5" t="n">
        <v>10</v>
      </c>
      <c r="G19" s="5" t="n">
        <v>9</v>
      </c>
      <c r="H19" s="5" t="n">
        <f aca="false">G19-F19</f>
        <v>-1</v>
      </c>
      <c r="I19" s="5" t="n">
        <f aca="false">ABS(H19)</f>
        <v>1</v>
      </c>
      <c r="J19" s="5" t="str">
        <f aca="false">IF(H19=0,"Match","Mismatch")</f>
        <v>Mismatch</v>
      </c>
      <c r="K19" s="6"/>
    </row>
    <row r="20" customFormat="false" ht="15" hidden="false" customHeight="false" outlineLevel="0" collapsed="false">
      <c r="A20" s="5" t="n">
        <v>16</v>
      </c>
      <c r="B20" s="5" t="s">
        <v>81</v>
      </c>
      <c r="C20" s="5" t="s">
        <v>74</v>
      </c>
      <c r="D20" s="6" t="s">
        <v>75</v>
      </c>
      <c r="E20" s="6" t="s">
        <v>76</v>
      </c>
      <c r="F20" s="5" t="n">
        <v>10</v>
      </c>
      <c r="G20" s="5" t="n">
        <v>8</v>
      </c>
      <c r="H20" s="5" t="n">
        <f aca="false">G20-F20</f>
        <v>-2</v>
      </c>
      <c r="I20" s="5" t="n">
        <f aca="false">ABS(H20)</f>
        <v>2</v>
      </c>
      <c r="J20" s="5" t="str">
        <f aca="false">IF(H20=0,"Match","Mismatch")</f>
        <v>Mismatch</v>
      </c>
      <c r="K20" s="6" t="s">
        <v>82</v>
      </c>
    </row>
    <row r="21" customFormat="false" ht="15" hidden="false" customHeight="false" outlineLevel="0" collapsed="false">
      <c r="A21" s="5" t="n">
        <v>17</v>
      </c>
      <c r="B21" s="5" t="s">
        <v>83</v>
      </c>
      <c r="C21" s="5" t="s">
        <v>67</v>
      </c>
      <c r="D21" s="6" t="s">
        <v>68</v>
      </c>
      <c r="E21" s="6" t="s">
        <v>69</v>
      </c>
      <c r="F21" s="5" t="n">
        <v>10</v>
      </c>
      <c r="G21" s="5" t="n">
        <v>10</v>
      </c>
      <c r="H21" s="5" t="n">
        <f aca="false">G21-F21</f>
        <v>0</v>
      </c>
      <c r="I21" s="5" t="n">
        <f aca="false">ABS(H21)</f>
        <v>0</v>
      </c>
      <c r="J21" s="5" t="str">
        <f aca="false">IF(H21=0,"Match","Mismatch")</f>
        <v>Match</v>
      </c>
      <c r="K21" s="6"/>
    </row>
    <row r="22" customFormat="false" ht="15" hidden="false" customHeight="false" outlineLevel="0" collapsed="false">
      <c r="A22" s="5" t="n">
        <v>18</v>
      </c>
      <c r="B22" s="5" t="s">
        <v>83</v>
      </c>
      <c r="C22" s="5" t="s">
        <v>70</v>
      </c>
      <c r="D22" s="6" t="s">
        <v>68</v>
      </c>
      <c r="E22" s="6" t="s">
        <v>71</v>
      </c>
      <c r="F22" s="5" t="n">
        <v>10</v>
      </c>
      <c r="G22" s="5" t="n">
        <v>10</v>
      </c>
      <c r="H22" s="5" t="n">
        <f aca="false">G22-F22</f>
        <v>0</v>
      </c>
      <c r="I22" s="5" t="n">
        <f aca="false">ABS(H22)</f>
        <v>0</v>
      </c>
      <c r="J22" s="5" t="str">
        <f aca="false">IF(H22=0,"Match","Mismatch")</f>
        <v>Match</v>
      </c>
      <c r="K22" s="6"/>
    </row>
    <row r="23" customFormat="false" ht="15" hidden="false" customHeight="false" outlineLevel="0" collapsed="false">
      <c r="A23" s="5" t="n">
        <v>19</v>
      </c>
      <c r="B23" s="5" t="s">
        <v>83</v>
      </c>
      <c r="C23" s="5" t="s">
        <v>72</v>
      </c>
      <c r="D23" s="6" t="s">
        <v>73</v>
      </c>
      <c r="E23" s="6" t="s">
        <v>69</v>
      </c>
      <c r="F23" s="5" t="n">
        <v>10</v>
      </c>
      <c r="G23" s="5" t="n">
        <v>10</v>
      </c>
      <c r="H23" s="5" t="n">
        <f aca="false">G23-F23</f>
        <v>0</v>
      </c>
      <c r="I23" s="5" t="n">
        <f aca="false">ABS(H23)</f>
        <v>0</v>
      </c>
      <c r="J23" s="5" t="str">
        <f aca="false">IF(H23=0,"Match","Mismatch")</f>
        <v>Match</v>
      </c>
      <c r="K23" s="6"/>
    </row>
    <row r="24" customFormat="false" ht="15" hidden="false" customHeight="false" outlineLevel="0" collapsed="false">
      <c r="A24" s="5" t="n">
        <v>20</v>
      </c>
      <c r="B24" s="5" t="s">
        <v>83</v>
      </c>
      <c r="C24" s="5" t="s">
        <v>74</v>
      </c>
      <c r="D24" s="6" t="s">
        <v>75</v>
      </c>
      <c r="E24" s="6" t="s">
        <v>76</v>
      </c>
      <c r="F24" s="5" t="n">
        <v>10</v>
      </c>
      <c r="G24" s="5" t="n">
        <v>10</v>
      </c>
      <c r="H24" s="5" t="n">
        <f aca="false">G24-F24</f>
        <v>0</v>
      </c>
      <c r="I24" s="5" t="n">
        <f aca="false">ABS(H24)</f>
        <v>0</v>
      </c>
      <c r="J24" s="5" t="str">
        <f aca="false">IF(H24=0,"Match","Mismatch")</f>
        <v>Match</v>
      </c>
      <c r="K24" s="6"/>
    </row>
    <row r="26" customFormat="false" ht="15" hidden="false" customHeight="false" outlineLevel="0" collapsed="false">
      <c r="A26" s="15" t="s">
        <v>84</v>
      </c>
      <c r="C26" s="2" t="str">
        <f aca="false">COUNTIF(J5:J24,"Match")&amp;" of "&amp;COUNTA(J5:J24)&amp;" trials"</f>
        <v>14 of 20 trials</v>
      </c>
    </row>
    <row r="27" customFormat="false" ht="15" hidden="false" customHeight="false" outlineLevel="0" collapsed="false">
      <c r="A27" s="15" t="s">
        <v>85</v>
      </c>
      <c r="C27"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38"/>
  </cols>
  <sheetData>
    <row r="1" customFormat="false" ht="17.35" hidden="false" customHeight="false" outlineLevel="0" collapsed="false">
      <c r="A1" s="1" t="s">
        <v>87</v>
      </c>
    </row>
    <row r="3" customFormat="false" ht="15" hidden="false" customHeight="false" outlineLevel="0" collapsed="false">
      <c r="A3" s="9" t="s">
        <v>88</v>
      </c>
    </row>
    <row r="4" customFormat="false" ht="15" hidden="false" customHeight="false" outlineLevel="0" collapsed="false">
      <c r="A4" s="4" t="s">
        <v>19</v>
      </c>
      <c r="B4" s="4" t="s">
        <v>89</v>
      </c>
      <c r="C4" s="4" t="s">
        <v>90</v>
      </c>
    </row>
    <row r="5" customFormat="false" ht="15" hidden="false" customHeight="false" outlineLevel="0" collapsed="false">
      <c r="A5" s="6" t="s">
        <v>26</v>
      </c>
      <c r="B5" s="6" t="s">
        <v>91</v>
      </c>
      <c r="C5" s="6" t="s">
        <v>92</v>
      </c>
    </row>
    <row r="6" customFormat="false" ht="23.85" hidden="false" customHeight="false" outlineLevel="0" collapsed="false">
      <c r="A6" s="6" t="s">
        <v>40</v>
      </c>
      <c r="B6" s="6" t="s">
        <v>93</v>
      </c>
      <c r="C6" s="6" t="s">
        <v>94</v>
      </c>
    </row>
    <row r="7" customFormat="false" ht="23.85" hidden="false" customHeight="false" outlineLevel="0" collapsed="false">
      <c r="A7" s="6" t="s">
        <v>41</v>
      </c>
      <c r="B7" s="6" t="s">
        <v>95</v>
      </c>
      <c r="C7" s="6" t="s">
        <v>96</v>
      </c>
    </row>
    <row r="9" customFormat="false" ht="15" hidden="false" customHeight="false" outlineLevel="0" collapsed="false">
      <c r="A9" s="9" t="s">
        <v>97</v>
      </c>
    </row>
    <row r="10" customFormat="false" ht="15" hidden="false" customHeight="false" outlineLevel="0" collapsed="false">
      <c r="A10" s="4" t="s">
        <v>19</v>
      </c>
      <c r="B10" s="4" t="s">
        <v>89</v>
      </c>
      <c r="C10" s="4" t="s">
        <v>90</v>
      </c>
    </row>
    <row r="11" customFormat="false" ht="15" hidden="false" customHeight="false" outlineLevel="0" collapsed="false">
      <c r="A11" s="6" t="s">
        <v>98</v>
      </c>
      <c r="B11" s="6" t="s">
        <v>99</v>
      </c>
      <c r="C11" s="6" t="s">
        <v>100</v>
      </c>
    </row>
    <row r="12" customFormat="false" ht="23.85" hidden="false" customHeight="false" outlineLevel="0" collapsed="false">
      <c r="A12" s="6" t="s">
        <v>101</v>
      </c>
      <c r="B12" s="6" t="s">
        <v>102</v>
      </c>
      <c r="C12" s="6" t="s">
        <v>103</v>
      </c>
    </row>
    <row r="13" customFormat="false" ht="23.85" hidden="false" customHeight="false" outlineLevel="0" collapsed="false">
      <c r="A13" s="6" t="s">
        <v>104</v>
      </c>
      <c r="B13" s="6" t="s">
        <v>105</v>
      </c>
      <c r="C13" s="6" t="s">
        <v>106</v>
      </c>
    </row>
    <row r="14" customFormat="false" ht="35.05" hidden="false" customHeight="false" outlineLevel="0" collapsed="false">
      <c r="A14" s="6" t="s">
        <v>107</v>
      </c>
      <c r="B14" s="6" t="s">
        <v>108</v>
      </c>
      <c r="C14" s="6" t="s">
        <v>109</v>
      </c>
    </row>
    <row r="15" customFormat="false" ht="23.85" hidden="false" customHeight="false" outlineLevel="0" collapsed="false">
      <c r="A15" s="6" t="s">
        <v>110</v>
      </c>
      <c r="B15" s="6" t="s">
        <v>111</v>
      </c>
      <c r="C15" s="6" t="s">
        <v>112</v>
      </c>
    </row>
    <row r="16" customFormat="false" ht="35.05" hidden="false" customHeight="false" outlineLevel="0" collapsed="false">
      <c r="A16" s="6" t="s">
        <v>113</v>
      </c>
      <c r="B16" s="6" t="s">
        <v>114</v>
      </c>
      <c r="C16" s="6" t="s">
        <v>115</v>
      </c>
    </row>
    <row r="17" customFormat="false" ht="46.25" hidden="false" customHeight="false" outlineLevel="0" collapsed="false">
      <c r="A17" s="6" t="s">
        <v>116</v>
      </c>
      <c r="B17" s="6" t="s">
        <v>117</v>
      </c>
      <c r="C17" s="6" t="s">
        <v>118</v>
      </c>
    </row>
    <row r="18" customFormat="false" ht="35.05" hidden="false" customHeight="false" outlineLevel="0" collapsed="false">
      <c r="A18" s="6" t="s">
        <v>119</v>
      </c>
      <c r="B18" s="6" t="s">
        <v>120</v>
      </c>
      <c r="C18" s="6" t="s">
        <v>121</v>
      </c>
    </row>
    <row r="19" customFormat="false" ht="23.85" hidden="false" customHeight="false" outlineLevel="0" collapsed="false">
      <c r="A19" s="6" t="s">
        <v>122</v>
      </c>
      <c r="B19" s="6" t="s">
        <v>123</v>
      </c>
      <c r="C19" s="6" t="s">
        <v>124</v>
      </c>
    </row>
    <row r="20" customFormat="false" ht="35.05" hidden="false" customHeight="false" outlineLevel="0" collapsed="false">
      <c r="A20" s="6" t="s">
        <v>125</v>
      </c>
      <c r="B20" s="6" t="s">
        <v>126</v>
      </c>
      <c r="C20" s="6"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2026-06-07T22:10:25Z</dcterms:created>
  <dc:creator>openpyxl</dc:creator>
  <dc:description/>
  <dc:language>en-US</dc:language>
  <cp:lastModifiedBy/>
  <dcterms:modified xsi:type="dcterms:W3CDTF">2026-06-07T22:10:25Z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